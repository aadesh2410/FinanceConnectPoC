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X Trade Register" state="visible" r:id="rId4"/>
    <sheet sheetId="2" name="Counterparty Master" state="visible" r:id="rId5"/>
    <sheet sheetId="3" name="MTM Summary" state="visible" r:id="rId6"/>
    <sheet sheetId="4" name="Risk Parameters" state="visible" r:id="rId7"/>
  </sheets>
  <calcPr calcId="171027"/>
</workbook>
</file>

<file path=xl/sharedStrings.xml><?xml version="1.0" encoding="utf-8"?>
<sst xmlns="http://schemas.openxmlformats.org/spreadsheetml/2006/main" count="741" uniqueCount="218">
  <si>
    <t>FX TRADE REGISTER — Q1 2026</t>
  </si>
  <si>
    <t>As of Date:</t>
  </si>
  <si>
    <t>Desk:</t>
  </si>
  <si>
    <t>FX Derivatives</t>
  </si>
  <si>
    <t>Status:</t>
  </si>
  <si>
    <t>ACTIVE</t>
  </si>
  <si>
    <t>Trade ID</t>
  </si>
  <si>
    <t>Trade Date</t>
  </si>
  <si>
    <t>Value Date</t>
  </si>
  <si>
    <t>Product</t>
  </si>
  <si>
    <t>Counterparty ID</t>
  </si>
  <si>
    <t>Buy Currency</t>
  </si>
  <si>
    <t>Buy Amount</t>
  </si>
  <si>
    <t>Sell Currency</t>
  </si>
  <si>
    <t>Sell Amount</t>
  </si>
  <si>
    <t>MTM (USD)</t>
  </si>
  <si>
    <t>Trader</t>
  </si>
  <si>
    <t>Status</t>
  </si>
  <si>
    <t>TRD-2026-0001</t>
  </si>
  <si>
    <t>FX Forward</t>
  </si>
  <si>
    <t>CP002</t>
  </si>
  <si>
    <t>GBP</t>
  </si>
  <si>
    <t>USD</t>
  </si>
  <si>
    <t>A.Patel</t>
  </si>
  <si>
    <t>LIVE</t>
  </si>
  <si>
    <t>TRD-2026-0002</t>
  </si>
  <si>
    <t>FX Option</t>
  </si>
  <si>
    <t>CP003</t>
  </si>
  <si>
    <t>JPY</t>
  </si>
  <si>
    <t>L.Chen</t>
  </si>
  <si>
    <t>TRD-2026-0003</t>
  </si>
  <si>
    <t>NDF</t>
  </si>
  <si>
    <t>CP004</t>
  </si>
  <si>
    <t>AUD</t>
  </si>
  <si>
    <t>M.Brown</t>
  </si>
  <si>
    <t>TRD-2026-0004</t>
  </si>
  <si>
    <t>FX Spot</t>
  </si>
  <si>
    <t>CP005</t>
  </si>
  <si>
    <t>CHF</t>
  </si>
  <si>
    <t>J.Smith</t>
  </si>
  <si>
    <t>MATURED</t>
  </si>
  <si>
    <t>TRD-2026-0005</t>
  </si>
  <si>
    <t>CP001</t>
  </si>
  <si>
    <t>CAD</t>
  </si>
  <si>
    <t>CANCELLED</t>
  </si>
  <si>
    <t>TRD-2026-0006</t>
  </si>
  <si>
    <t>EUR</t>
  </si>
  <si>
    <t>TRD-2026-0007</t>
  </si>
  <si>
    <t>TRD-2026-0008</t>
  </si>
  <si>
    <t>TRD-2026-0009</t>
  </si>
  <si>
    <t>TRD-2026-0010</t>
  </si>
  <si>
    <t>TRD-2026-0011</t>
  </si>
  <si>
    <t>TRD-2026-0012</t>
  </si>
  <si>
    <t>TRD-2026-0013</t>
  </si>
  <si>
    <t>TRD-2026-0014</t>
  </si>
  <si>
    <t>TRD-2026-0015</t>
  </si>
  <si>
    <t>TRD-2026-0016</t>
  </si>
  <si>
    <t>TRD-2026-0017</t>
  </si>
  <si>
    <t>TRD-2026-0018</t>
  </si>
  <si>
    <t>TRD-2026-0019</t>
  </si>
  <si>
    <t>TRD-2026-0020</t>
  </si>
  <si>
    <t>TRD-2026-0021</t>
  </si>
  <si>
    <t>TRD-2026-0022</t>
  </si>
  <si>
    <t>TRD-2026-0023</t>
  </si>
  <si>
    <t>TRD-2026-0024</t>
  </si>
  <si>
    <t>TRD-2026-0025</t>
  </si>
  <si>
    <t>TRD-2026-0026</t>
  </si>
  <si>
    <t>TRD-2026-0027</t>
  </si>
  <si>
    <t>TRD-2026-0028</t>
  </si>
  <si>
    <t>TRD-2026-0029</t>
  </si>
  <si>
    <t>TRD-2026-0030</t>
  </si>
  <si>
    <t>TRD-2026-0031</t>
  </si>
  <si>
    <t>TRD-2026-0032</t>
  </si>
  <si>
    <t>TRD-2026-0033</t>
  </si>
  <si>
    <t>TRD-2026-0034</t>
  </si>
  <si>
    <t>TRD-2026-0035</t>
  </si>
  <si>
    <t>TRD-2026-0036</t>
  </si>
  <si>
    <t>TRD-2026-0037</t>
  </si>
  <si>
    <t>TRD-2026-0038</t>
  </si>
  <si>
    <t>TRD-2026-0039</t>
  </si>
  <si>
    <t>TRD-2026-0040</t>
  </si>
  <si>
    <t>TRD-2026-0041</t>
  </si>
  <si>
    <t>TRD-2026-0042</t>
  </si>
  <si>
    <t>TRD-2026-0043</t>
  </si>
  <si>
    <t>TRD-2026-0044</t>
  </si>
  <si>
    <t>TRD-2026-0045</t>
  </si>
  <si>
    <t>TRD-2026-0046</t>
  </si>
  <si>
    <t>TRD-2026-0047</t>
  </si>
  <si>
    <t>TRD-2026-0048</t>
  </si>
  <si>
    <t>TRD-2026-0049</t>
  </si>
  <si>
    <t>TRD-2026-0050</t>
  </si>
  <si>
    <t>TRD-2026-0051</t>
  </si>
  <si>
    <t>TRD-2026-0052</t>
  </si>
  <si>
    <t>TRD-2026-0053</t>
  </si>
  <si>
    <t>TRD-2026-0054</t>
  </si>
  <si>
    <t>TRD-2026-0055</t>
  </si>
  <si>
    <t>TRD-2026-0056</t>
  </si>
  <si>
    <t>TRD-2026-0057</t>
  </si>
  <si>
    <t>TRD-2026-0058</t>
  </si>
  <si>
    <t>TRD-2026-0059</t>
  </si>
  <si>
    <t>TRD-2026-0060</t>
  </si>
  <si>
    <t>TRD-2026-0061</t>
  </si>
  <si>
    <t>TRD-2026-0062</t>
  </si>
  <si>
    <t>TRD-2026-0063</t>
  </si>
  <si>
    <t>TRD-2026-0064</t>
  </si>
  <si>
    <t>TRD-2026-0065</t>
  </si>
  <si>
    <t>TRD-2026-0066</t>
  </si>
  <si>
    <t>TRD-2026-0067</t>
  </si>
  <si>
    <t>TRD-2026-0068</t>
  </si>
  <si>
    <t>TRD-2026-0069</t>
  </si>
  <si>
    <t>TRD-2026-0070</t>
  </si>
  <si>
    <t>TRD-2026-0071</t>
  </si>
  <si>
    <t>TRD-2026-0072</t>
  </si>
  <si>
    <t>TRD-2026-0073</t>
  </si>
  <si>
    <t>TRD-2026-0074</t>
  </si>
  <si>
    <t>TRD-2026-0075</t>
  </si>
  <si>
    <t>TRD-2026-0076</t>
  </si>
  <si>
    <t>TRD-2026-0077</t>
  </si>
  <si>
    <t>TRD-2026-0078</t>
  </si>
  <si>
    <t>TRD-2026-0079</t>
  </si>
  <si>
    <t>TRD-2026-0080</t>
  </si>
  <si>
    <t>TOTAL</t>
  </si>
  <si>
    <t/>
  </si>
  <si>
    <t>COUNTERPARTY MASTER DATA</t>
  </si>
  <si>
    <t>CP ID</t>
  </si>
  <si>
    <t>Legal Name</t>
  </si>
  <si>
    <t>Country</t>
  </si>
  <si>
    <t>Sector</t>
  </si>
  <si>
    <t>Credit Rating</t>
  </si>
  <si>
    <t>LEI</t>
  </si>
  <si>
    <t>Deutsche Bank AG</t>
  </si>
  <si>
    <t>Germany</t>
  </si>
  <si>
    <t>Banking</t>
  </si>
  <si>
    <t>AA-</t>
  </si>
  <si>
    <t>7LTWFZYICNSX8D621K86</t>
  </si>
  <si>
    <t>BNP Paribas SA</t>
  </si>
  <si>
    <t>France</t>
  </si>
  <si>
    <t>A+</t>
  </si>
  <si>
    <t>R0MUWSFPU8MPRO8K5P83</t>
  </si>
  <si>
    <t>HSBC Holdings plc</t>
  </si>
  <si>
    <t>United Kingdom</t>
  </si>
  <si>
    <t>MLU0ZO3ML4LN2LL2TL39</t>
  </si>
  <si>
    <t>Citibank N.A.</t>
  </si>
  <si>
    <t>United States</t>
  </si>
  <si>
    <t>A</t>
  </si>
  <si>
    <t>E57ODZWZ7FF32TWEFA76</t>
  </si>
  <si>
    <t>Goldman Sachs International</t>
  </si>
  <si>
    <t>Investment Bank</t>
  </si>
  <si>
    <t>W22LROWP2IHZNBB6K528</t>
  </si>
  <si>
    <t>CP006</t>
  </si>
  <si>
    <t>Mitsubishi UFJ Financial</t>
  </si>
  <si>
    <t>Japan</t>
  </si>
  <si>
    <t>A-</t>
  </si>
  <si>
    <t>PIIKFRQZP7DDSZF10Y42</t>
  </si>
  <si>
    <t>CP007</t>
  </si>
  <si>
    <t>Société Générale SA</t>
  </si>
  <si>
    <t>O2RNE8IBXP4R0TD8PH29</t>
  </si>
  <si>
    <t>CP008</t>
  </si>
  <si>
    <t>Barclays Bank PLC</t>
  </si>
  <si>
    <t>G5GSEF7VJP5I7OUK5573</t>
  </si>
  <si>
    <t>REVIEW</t>
  </si>
  <si>
    <t>CP009</t>
  </si>
  <si>
    <t>Standard Chartered PLC</t>
  </si>
  <si>
    <t>BBB+</t>
  </si>
  <si>
    <t>RILFO74KP1CM8P6PCT96</t>
  </si>
  <si>
    <t>CP010</t>
  </si>
  <si>
    <t>ING Bank N.V.</t>
  </si>
  <si>
    <t>Netherlands</t>
  </si>
  <si>
    <t>3TK20IVIUJ8J3ZU0QE75</t>
  </si>
  <si>
    <t>MARK-TO-MARKET SUMMARY BY CURRENCY PAIR — Q1 2026</t>
  </si>
  <si>
    <t>USD Equivalent | Figures in thousands</t>
  </si>
  <si>
    <t>Currency Pair</t>
  </si>
  <si>
    <t>Notional (USD)</t>
  </si>
  <si>
    <t>Avg Rate</t>
  </si>
  <si>
    <t>MTM Jan-26</t>
  </si>
  <si>
    <t>MTM Feb-26</t>
  </si>
  <si>
    <t>MTM Mar-26</t>
  </si>
  <si>
    <t>Q1 Total MTM</t>
  </si>
  <si>
    <t>EUR/USD</t>
  </si>
  <si>
    <t>GBP/USD</t>
  </si>
  <si>
    <t>JPY/USD</t>
  </si>
  <si>
    <t>AUD/USD</t>
  </si>
  <si>
    <t>CHF/USD</t>
  </si>
  <si>
    <t>CAD/USD</t>
  </si>
  <si>
    <t>GRAND TOTAL</t>
  </si>
  <si>
    <t>RISK &amp; VALUATION PARAMETERS</t>
  </si>
  <si>
    <t>Parameter Name</t>
  </si>
  <si>
    <t>Value</t>
  </si>
  <si>
    <t>Last Updated</t>
  </si>
  <si>
    <t>Risk-Free Rate (USD)</t>
  </si>
  <si>
    <t>5.25%</t>
  </si>
  <si>
    <t>Risk-Free Rate (EUR)</t>
  </si>
  <si>
    <t>4.00%</t>
  </si>
  <si>
    <t>Risk-Free Rate (GBP)</t>
  </si>
  <si>
    <t>5.00%</t>
  </si>
  <si>
    <t>Risk-Free Rate (JPY)</t>
  </si>
  <si>
    <t>0.10%</t>
  </si>
  <si>
    <t>VaR Confidence Level</t>
  </si>
  <si>
    <t>99%</t>
  </si>
  <si>
    <t>VaR Holding Period (days)</t>
  </si>
  <si>
    <t>10</t>
  </si>
  <si>
    <t>Stress Test Scenario</t>
  </si>
  <si>
    <t>ECB-2026-ADV</t>
  </si>
  <si>
    <t>MTM Discounting Curve</t>
  </si>
  <si>
    <t>OIS</t>
  </si>
  <si>
    <t>Counterparty Default Threshold</t>
  </si>
  <si>
    <t>USD 5,000,000</t>
  </si>
  <si>
    <t>Large Trade Threshold</t>
  </si>
  <si>
    <t>USD 10,000,000</t>
  </si>
  <si>
    <t>Reporting Currency</t>
  </si>
  <si>
    <t>Decimal Places (Rates)</t>
  </si>
  <si>
    <t>4</t>
  </si>
  <si>
    <t>FX Settlement T+</t>
  </si>
  <si>
    <t>2</t>
  </si>
  <si>
    <t>Option Pricing Model</t>
  </si>
  <si>
    <t>Black-Scholes</t>
  </si>
  <si>
    <t>Last Full Revaluation</t>
  </si>
  <si>
    <t>Next Scheduled Revaluation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</si>
</sst>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0"/>
    </font>
    <font>
      <b/>
    </font>
    <font>
      <i/>
      <color rgb="FF666666"/>
      <sz val="9"/>
    </font>
  </fonts>
  <fills count="6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F5F8FB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3" borderId="1" xfId="0" applyFont="1" applyFill="1" applyBorder="1" applyAlignment="1">
      <alignment vertical="center"/>
    </xf>
    <xf numFmtId="0" fontId="0" fillId="4" borderId="0" xfId="0" applyFill="1"/>
    <xf numFmtId="164" fontId="0" fillId="4" borderId="0" xfId="0" applyNumberFormat="1" applyFill="1"/>
    <xf numFmtId="4" fontId="0" fillId="4" borderId="0" xfId="0" applyNumberFormat="1" applyFill="1"/>
    <xf numFmtId="4" fontId="0" fillId="0" borderId="0" xfId="0" applyNumberFormat="1"/>
    <xf numFmtId="0" fontId="3" fillId="0" borderId="0" xfId="0" applyFont="1"/>
    <xf numFmtId="4" fontId="3" fillId="0" borderId="0" xfId="0" applyNumberFormat="1" applyFont="1"/>
    <xf numFmtId="0" fontId="4" fillId="0" borderId="0" xfId="0" applyFont="1"/>
    <xf numFmtId="3" fontId="0" fillId="4" borderId="0" xfId="0" applyNumberFormat="1" applyFill="1"/>
    <xf numFmtId="165" fontId="0" fillId="4" borderId="0" xfId="0" applyNumberFormat="1" applyFill="1"/>
    <xf numFmtId="3" fontId="0" fillId="0" borderId="0" xfId="0" applyNumberFormat="1"/>
    <xf numFmtId="165" fontId="0" fillId="0" borderId="0" xfId="0" applyNumberFormat="1"/>
    <xf numFmtId="0" fontId="3" fillId="5" borderId="0" xfId="0" applyFont="1" applyFill="1"/>
    <xf numFmtId="4" fontId="3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L8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6" customWidth="1"/>
    <col min="5" max="5" width="14" customWidth="1"/>
    <col min="6" max="6" width="10" customWidth="1"/>
    <col min="7" max="7" width="16" customWidth="1"/>
    <col min="8" max="8" width="10" customWidth="1"/>
    <col min="9" max="10" width="16" customWidth="1"/>
    <col min="11" max="11" width="14" customWidth="1"/>
    <col min="12" max="12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8" x14ac:dyDescent="0.25">
      <c r="A2" t="s">
        <v>1</v>
      </c>
      <c r="B2" s="2">
        <v>46112</v>
      </c>
      <c r="D2" t="s">
        <v>2</v>
      </c>
      <c r="E2" t="s">
        <v>3</v>
      </c>
      <c r="G2" t="s">
        <v>4</v>
      </c>
      <c r="H2" t="s">
        <v>5</v>
      </c>
    </row>
    <row r="4" ht="18" customHeight="1" spans="1:12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</row>
    <row r="5" spans="1:12" x14ac:dyDescent="0.25">
      <c r="A5" s="4" t="s">
        <v>18</v>
      </c>
      <c r="B5" s="5">
        <v>46062.77083333333</v>
      </c>
      <c r="C5" s="5">
        <v>46082.77083333333</v>
      </c>
      <c r="D5" s="4" t="s">
        <v>19</v>
      </c>
      <c r="E5" s="4" t="s">
        <v>20</v>
      </c>
      <c r="F5" s="4" t="s">
        <v>21</v>
      </c>
      <c r="G5" s="6">
        <v>221284.88</v>
      </c>
      <c r="H5" s="4" t="s">
        <v>22</v>
      </c>
      <c r="I5" s="6">
        <v>222706.06</v>
      </c>
      <c r="J5" s="6">
        <v>-67512.95</v>
      </c>
      <c r="K5" s="4" t="s">
        <v>23</v>
      </c>
      <c r="L5" s="4" t="s">
        <v>24</v>
      </c>
    </row>
    <row r="6" spans="1:12" x14ac:dyDescent="0.25">
      <c r="A6" t="s">
        <v>25</v>
      </c>
      <c r="B6" s="2">
        <v>46048.77083333333</v>
      </c>
      <c r="C6" s="2">
        <v>46089.77083333333</v>
      </c>
      <c r="D6" t="s">
        <v>26</v>
      </c>
      <c r="E6" t="s">
        <v>27</v>
      </c>
      <c r="F6" t="s">
        <v>28</v>
      </c>
      <c r="G6" s="7">
        <v>293763.03</v>
      </c>
      <c r="H6" t="s">
        <v>22</v>
      </c>
      <c r="I6" s="7">
        <v>264783.59</v>
      </c>
      <c r="J6" s="7">
        <v>4799.48</v>
      </c>
      <c r="K6" t="s">
        <v>29</v>
      </c>
      <c r="L6" t="s">
        <v>24</v>
      </c>
    </row>
    <row r="7" spans="1:12" x14ac:dyDescent="0.25">
      <c r="A7" s="4" t="s">
        <v>30</v>
      </c>
      <c r="B7" s="5">
        <v>46066.77083333333</v>
      </c>
      <c r="C7" s="5">
        <v>46216.77083333333</v>
      </c>
      <c r="D7" s="4" t="s">
        <v>31</v>
      </c>
      <c r="E7" s="4" t="s">
        <v>32</v>
      </c>
      <c r="F7" s="4" t="s">
        <v>33</v>
      </c>
      <c r="G7" s="6">
        <v>266353.91</v>
      </c>
      <c r="H7" s="4" t="s">
        <v>22</v>
      </c>
      <c r="I7" s="6">
        <v>283971.64</v>
      </c>
      <c r="J7" s="6">
        <v>39899.68</v>
      </c>
      <c r="K7" s="4" t="s">
        <v>34</v>
      </c>
      <c r="L7" s="4" t="s">
        <v>24</v>
      </c>
    </row>
    <row r="8" spans="1:12" x14ac:dyDescent="0.25">
      <c r="A8" t="s">
        <v>35</v>
      </c>
      <c r="B8" s="2">
        <v>46073.77083333333</v>
      </c>
      <c r="C8" s="2">
        <v>46237.77083333333</v>
      </c>
      <c r="D8" t="s">
        <v>36</v>
      </c>
      <c r="E8" t="s">
        <v>37</v>
      </c>
      <c r="F8" t="s">
        <v>38</v>
      </c>
      <c r="G8" s="7">
        <v>3593753.95</v>
      </c>
      <c r="H8" t="s">
        <v>22</v>
      </c>
      <c r="I8" s="7">
        <v>3097278.31</v>
      </c>
      <c r="J8" s="7">
        <v>-83320.7</v>
      </c>
      <c r="K8" t="s">
        <v>39</v>
      </c>
      <c r="L8" t="s">
        <v>40</v>
      </c>
    </row>
    <row r="9" spans="1:12" x14ac:dyDescent="0.25">
      <c r="A9" s="4" t="s">
        <v>41</v>
      </c>
      <c r="B9" s="5">
        <v>46038.77083333333</v>
      </c>
      <c r="C9" s="5">
        <v>46166.77083333333</v>
      </c>
      <c r="D9" s="4" t="s">
        <v>19</v>
      </c>
      <c r="E9" s="4" t="s">
        <v>42</v>
      </c>
      <c r="F9" s="4" t="s">
        <v>43</v>
      </c>
      <c r="G9" s="6">
        <v>3744355.32</v>
      </c>
      <c r="H9" s="4" t="s">
        <v>22</v>
      </c>
      <c r="I9" s="6">
        <v>4139260.36</v>
      </c>
      <c r="J9" s="6">
        <v>-7131.98</v>
      </c>
      <c r="K9" s="4" t="s">
        <v>23</v>
      </c>
      <c r="L9" s="4" t="s">
        <v>44</v>
      </c>
    </row>
    <row r="10" spans="1:12" x14ac:dyDescent="0.25">
      <c r="A10" t="s">
        <v>45</v>
      </c>
      <c r="B10" s="2">
        <v>46024.77083333333</v>
      </c>
      <c r="C10" s="2">
        <v>46040.77083333333</v>
      </c>
      <c r="D10" t="s">
        <v>26</v>
      </c>
      <c r="E10" t="s">
        <v>20</v>
      </c>
      <c r="F10" t="s">
        <v>46</v>
      </c>
      <c r="G10" s="7">
        <v>2364797.46</v>
      </c>
      <c r="H10" t="s">
        <v>22</v>
      </c>
      <c r="I10" s="7">
        <v>2073063.14</v>
      </c>
      <c r="J10" s="7">
        <v>-35754.03</v>
      </c>
      <c r="K10" t="s">
        <v>29</v>
      </c>
      <c r="L10" t="s">
        <v>24</v>
      </c>
    </row>
    <row r="11" spans="1:12" x14ac:dyDescent="0.25">
      <c r="A11" s="4" t="s">
        <v>47</v>
      </c>
      <c r="B11" s="5">
        <v>46038.77083333333</v>
      </c>
      <c r="C11" s="5">
        <v>46140.77083333333</v>
      </c>
      <c r="D11" s="4" t="s">
        <v>31</v>
      </c>
      <c r="E11" s="4" t="s">
        <v>27</v>
      </c>
      <c r="F11" s="4" t="s">
        <v>21</v>
      </c>
      <c r="G11" s="6">
        <v>2643143.83</v>
      </c>
      <c r="H11" s="4" t="s">
        <v>22</v>
      </c>
      <c r="I11" s="6">
        <v>2433553.24</v>
      </c>
      <c r="J11" s="6">
        <v>11075</v>
      </c>
      <c r="K11" s="4" t="s">
        <v>34</v>
      </c>
      <c r="L11" s="4" t="s">
        <v>24</v>
      </c>
    </row>
    <row r="12" spans="1:12" x14ac:dyDescent="0.25">
      <c r="A12" t="s">
        <v>48</v>
      </c>
      <c r="B12" s="2">
        <v>46032.77083333333</v>
      </c>
      <c r="C12" s="2">
        <v>46155.77083333333</v>
      </c>
      <c r="D12" t="s">
        <v>36</v>
      </c>
      <c r="E12" t="s">
        <v>32</v>
      </c>
      <c r="F12" t="s">
        <v>28</v>
      </c>
      <c r="G12" s="7">
        <v>2287188.93</v>
      </c>
      <c r="H12" t="s">
        <v>22</v>
      </c>
      <c r="I12" s="7">
        <v>1976498.87</v>
      </c>
      <c r="J12" s="7">
        <v>-91024.34</v>
      </c>
      <c r="K12" t="s">
        <v>39</v>
      </c>
      <c r="L12" t="s">
        <v>24</v>
      </c>
    </row>
    <row r="13" spans="1:12" x14ac:dyDescent="0.25">
      <c r="A13" s="4" t="s">
        <v>49</v>
      </c>
      <c r="B13" s="5">
        <v>46081.77083333333</v>
      </c>
      <c r="C13" s="5">
        <v>46104.77083333333</v>
      </c>
      <c r="D13" s="4" t="s">
        <v>19</v>
      </c>
      <c r="E13" s="4" t="s">
        <v>37</v>
      </c>
      <c r="F13" s="4" t="s">
        <v>33</v>
      </c>
      <c r="G13" s="6">
        <v>1291122.89</v>
      </c>
      <c r="H13" s="4" t="s">
        <v>22</v>
      </c>
      <c r="I13" s="6">
        <v>1321313.03</v>
      </c>
      <c r="J13" s="6">
        <v>-39604.67</v>
      </c>
      <c r="K13" s="4" t="s">
        <v>23</v>
      </c>
      <c r="L13" s="4" t="s">
        <v>24</v>
      </c>
    </row>
    <row r="14" spans="1:12" x14ac:dyDescent="0.25">
      <c r="A14" t="s">
        <v>50</v>
      </c>
      <c r="B14" s="2">
        <v>46058.77083333333</v>
      </c>
      <c r="C14" s="2">
        <v>46069.77083333333</v>
      </c>
      <c r="D14" t="s">
        <v>26</v>
      </c>
      <c r="E14" t="s">
        <v>42</v>
      </c>
      <c r="F14" t="s">
        <v>38</v>
      </c>
      <c r="G14" s="7">
        <v>4548739.7</v>
      </c>
      <c r="H14" t="s">
        <v>22</v>
      </c>
      <c r="I14" s="7">
        <v>5137679.91</v>
      </c>
      <c r="J14" s="7">
        <v>56579.08</v>
      </c>
      <c r="K14" t="s">
        <v>29</v>
      </c>
      <c r="L14" t="s">
        <v>40</v>
      </c>
    </row>
    <row r="15" spans="1:12" x14ac:dyDescent="0.25">
      <c r="A15" s="4" t="s">
        <v>51</v>
      </c>
      <c r="B15" s="5">
        <v>46032.77083333333</v>
      </c>
      <c r="C15" s="5">
        <v>46161.77083333333</v>
      </c>
      <c r="D15" s="4" t="s">
        <v>31</v>
      </c>
      <c r="E15" s="4" t="s">
        <v>20</v>
      </c>
      <c r="F15" s="4" t="s">
        <v>43</v>
      </c>
      <c r="G15" s="6">
        <v>1958017.39</v>
      </c>
      <c r="H15" s="4" t="s">
        <v>22</v>
      </c>
      <c r="I15" s="6">
        <v>2062684.09</v>
      </c>
      <c r="J15" s="6">
        <v>-35086.16</v>
      </c>
      <c r="K15" s="4" t="s">
        <v>34</v>
      </c>
      <c r="L15" s="4" t="s">
        <v>44</v>
      </c>
    </row>
    <row r="16" spans="1:12" x14ac:dyDescent="0.25">
      <c r="A16" t="s">
        <v>52</v>
      </c>
      <c r="B16" s="2">
        <v>46052.77083333333</v>
      </c>
      <c r="C16" s="2">
        <v>46080.77083333333</v>
      </c>
      <c r="D16" t="s">
        <v>36</v>
      </c>
      <c r="E16" t="s">
        <v>27</v>
      </c>
      <c r="F16" t="s">
        <v>46</v>
      </c>
      <c r="G16" s="7">
        <v>3986863.97</v>
      </c>
      <c r="H16" t="s">
        <v>22</v>
      </c>
      <c r="I16" s="7">
        <v>4320355.33</v>
      </c>
      <c r="J16" s="7">
        <v>86670.13</v>
      </c>
      <c r="K16" t="s">
        <v>39</v>
      </c>
      <c r="L16" t="s">
        <v>24</v>
      </c>
    </row>
    <row r="17" spans="1:12" x14ac:dyDescent="0.25">
      <c r="A17" s="4" t="s">
        <v>53</v>
      </c>
      <c r="B17" s="5">
        <v>46079.77083333333</v>
      </c>
      <c r="C17" s="5">
        <v>46139.77083333333</v>
      </c>
      <c r="D17" s="4" t="s">
        <v>19</v>
      </c>
      <c r="E17" s="4" t="s">
        <v>32</v>
      </c>
      <c r="F17" s="4" t="s">
        <v>21</v>
      </c>
      <c r="G17" s="6">
        <v>417423.32</v>
      </c>
      <c r="H17" s="4" t="s">
        <v>22</v>
      </c>
      <c r="I17" s="6">
        <v>432059.03</v>
      </c>
      <c r="J17" s="6">
        <v>-55639.97</v>
      </c>
      <c r="K17" s="4" t="s">
        <v>23</v>
      </c>
      <c r="L17" s="4" t="s">
        <v>24</v>
      </c>
    </row>
    <row r="18" spans="1:12" x14ac:dyDescent="0.25">
      <c r="A18" t="s">
        <v>54</v>
      </c>
      <c r="B18" s="2">
        <v>46082.77083333333</v>
      </c>
      <c r="C18" s="2">
        <v>46146.77083333333</v>
      </c>
      <c r="D18" t="s">
        <v>26</v>
      </c>
      <c r="E18" t="s">
        <v>37</v>
      </c>
      <c r="F18" t="s">
        <v>28</v>
      </c>
      <c r="G18" s="7">
        <v>2794086.88</v>
      </c>
      <c r="H18" t="s">
        <v>22</v>
      </c>
      <c r="I18" s="7">
        <v>2451289.44</v>
      </c>
      <c r="J18" s="7">
        <v>-76629.63</v>
      </c>
      <c r="K18" t="s">
        <v>29</v>
      </c>
      <c r="L18" t="s">
        <v>24</v>
      </c>
    </row>
    <row r="19" spans="1:12" x14ac:dyDescent="0.25">
      <c r="A19" s="4" t="s">
        <v>55</v>
      </c>
      <c r="B19" s="5">
        <v>46044.77083333333</v>
      </c>
      <c r="C19" s="5">
        <v>46143.77083333333</v>
      </c>
      <c r="D19" s="4" t="s">
        <v>31</v>
      </c>
      <c r="E19" s="4" t="s">
        <v>42</v>
      </c>
      <c r="F19" s="4" t="s">
        <v>33</v>
      </c>
      <c r="G19" s="6">
        <v>4722379.94</v>
      </c>
      <c r="H19" s="4" t="s">
        <v>22</v>
      </c>
      <c r="I19" s="6">
        <v>4844301.27</v>
      </c>
      <c r="J19" s="6">
        <v>-43772.55</v>
      </c>
      <c r="K19" s="4" t="s">
        <v>34</v>
      </c>
      <c r="L19" s="4" t="s">
        <v>24</v>
      </c>
    </row>
    <row r="20" spans="1:12" x14ac:dyDescent="0.25">
      <c r="A20" t="s">
        <v>56</v>
      </c>
      <c r="B20" s="2">
        <v>46068.77083333333</v>
      </c>
      <c r="C20" s="2">
        <v>46137.77083333333</v>
      </c>
      <c r="D20" t="s">
        <v>36</v>
      </c>
      <c r="E20" t="s">
        <v>20</v>
      </c>
      <c r="F20" t="s">
        <v>38</v>
      </c>
      <c r="G20" s="7">
        <v>329707.28</v>
      </c>
      <c r="H20" t="s">
        <v>22</v>
      </c>
      <c r="I20" s="7">
        <v>313583.17</v>
      </c>
      <c r="J20" s="7">
        <v>-84407.37</v>
      </c>
      <c r="K20" t="s">
        <v>39</v>
      </c>
      <c r="L20" t="s">
        <v>40</v>
      </c>
    </row>
    <row r="21" spans="1:12" x14ac:dyDescent="0.25">
      <c r="A21" s="4" t="s">
        <v>57</v>
      </c>
      <c r="B21" s="5">
        <v>46076.77083333333</v>
      </c>
      <c r="C21" s="5">
        <v>46150.77083333333</v>
      </c>
      <c r="D21" s="4" t="s">
        <v>19</v>
      </c>
      <c r="E21" s="4" t="s">
        <v>27</v>
      </c>
      <c r="F21" s="4" t="s">
        <v>43</v>
      </c>
      <c r="G21" s="6">
        <v>406408.03</v>
      </c>
      <c r="H21" s="4" t="s">
        <v>22</v>
      </c>
      <c r="I21" s="6">
        <v>388975.77</v>
      </c>
      <c r="J21" s="6">
        <v>4642.65</v>
      </c>
      <c r="K21" s="4" t="s">
        <v>23</v>
      </c>
      <c r="L21" s="4" t="s">
        <v>44</v>
      </c>
    </row>
    <row r="22" spans="1:12" x14ac:dyDescent="0.25">
      <c r="A22" t="s">
        <v>58</v>
      </c>
      <c r="B22" s="2">
        <v>46047.77083333333</v>
      </c>
      <c r="C22" s="2">
        <v>46063.77083333333</v>
      </c>
      <c r="D22" t="s">
        <v>26</v>
      </c>
      <c r="E22" t="s">
        <v>32</v>
      </c>
      <c r="F22" t="s">
        <v>46</v>
      </c>
      <c r="G22" s="7">
        <v>4160681.34</v>
      </c>
      <c r="H22" t="s">
        <v>22</v>
      </c>
      <c r="I22" s="7">
        <v>3572648.81</v>
      </c>
      <c r="J22" s="7">
        <v>-28348.84</v>
      </c>
      <c r="K22" t="s">
        <v>29</v>
      </c>
      <c r="L22" t="s">
        <v>24</v>
      </c>
    </row>
    <row r="23" spans="1:12" x14ac:dyDescent="0.25">
      <c r="A23" s="4" t="s">
        <v>59</v>
      </c>
      <c r="B23" s="5">
        <v>46045.77083333333</v>
      </c>
      <c r="C23" s="5">
        <v>46157.77083333333</v>
      </c>
      <c r="D23" s="4" t="s">
        <v>31</v>
      </c>
      <c r="E23" s="4" t="s">
        <v>37</v>
      </c>
      <c r="F23" s="4" t="s">
        <v>21</v>
      </c>
      <c r="G23" s="6">
        <v>3179918.52</v>
      </c>
      <c r="H23" s="4" t="s">
        <v>22</v>
      </c>
      <c r="I23" s="6">
        <v>3103182.72</v>
      </c>
      <c r="J23" s="6">
        <v>67493.7</v>
      </c>
      <c r="K23" s="4" t="s">
        <v>34</v>
      </c>
      <c r="L23" s="4" t="s">
        <v>24</v>
      </c>
    </row>
    <row r="24" spans="1:12" x14ac:dyDescent="0.25">
      <c r="A24" t="s">
        <v>60</v>
      </c>
      <c r="B24" s="2">
        <v>46058.77083333333</v>
      </c>
      <c r="C24" s="2">
        <v>46172.77083333333</v>
      </c>
      <c r="D24" t="s">
        <v>36</v>
      </c>
      <c r="E24" t="s">
        <v>42</v>
      </c>
      <c r="F24" t="s">
        <v>28</v>
      </c>
      <c r="G24" s="7">
        <v>3538793.33</v>
      </c>
      <c r="H24" t="s">
        <v>22</v>
      </c>
      <c r="I24" s="7">
        <v>3368985.77</v>
      </c>
      <c r="J24" s="7">
        <v>-52158.26</v>
      </c>
      <c r="K24" t="s">
        <v>39</v>
      </c>
      <c r="L24" t="s">
        <v>24</v>
      </c>
    </row>
    <row r="25" spans="1:12" x14ac:dyDescent="0.25">
      <c r="A25" s="4" t="s">
        <v>61</v>
      </c>
      <c r="B25" s="5">
        <v>46048.77083333333</v>
      </c>
      <c r="C25" s="5">
        <v>46103.77083333333</v>
      </c>
      <c r="D25" s="4" t="s">
        <v>19</v>
      </c>
      <c r="E25" s="4" t="s">
        <v>20</v>
      </c>
      <c r="F25" s="4" t="s">
        <v>33</v>
      </c>
      <c r="G25" s="6">
        <v>3437251.96</v>
      </c>
      <c r="H25" s="4" t="s">
        <v>22</v>
      </c>
      <c r="I25" s="6">
        <v>3776242.33</v>
      </c>
      <c r="J25" s="6">
        <v>-85956.59</v>
      </c>
      <c r="K25" s="4" t="s">
        <v>23</v>
      </c>
      <c r="L25" s="4" t="s">
        <v>24</v>
      </c>
    </row>
    <row r="26" spans="1:12" x14ac:dyDescent="0.25">
      <c r="A26" t="s">
        <v>62</v>
      </c>
      <c r="B26" s="2">
        <v>46066.77083333333</v>
      </c>
      <c r="C26" s="2">
        <v>46174.77083333333</v>
      </c>
      <c r="D26" t="s">
        <v>26</v>
      </c>
      <c r="E26" t="s">
        <v>27</v>
      </c>
      <c r="F26" t="s">
        <v>38</v>
      </c>
      <c r="G26" s="7">
        <v>2115157.28</v>
      </c>
      <c r="H26" t="s">
        <v>22</v>
      </c>
      <c r="I26" s="7">
        <v>2078807.38</v>
      </c>
      <c r="J26" s="7">
        <v>-68518.99</v>
      </c>
      <c r="K26" t="s">
        <v>29</v>
      </c>
      <c r="L26" t="s">
        <v>40</v>
      </c>
    </row>
    <row r="27" spans="1:12" x14ac:dyDescent="0.25">
      <c r="A27" s="4" t="s">
        <v>63</v>
      </c>
      <c r="B27" s="5">
        <v>46054.77083333333</v>
      </c>
      <c r="C27" s="5">
        <v>46116.77083333333</v>
      </c>
      <c r="D27" s="4" t="s">
        <v>31</v>
      </c>
      <c r="E27" s="4" t="s">
        <v>32</v>
      </c>
      <c r="F27" s="4" t="s">
        <v>43</v>
      </c>
      <c r="G27" s="6">
        <v>3216387.65</v>
      </c>
      <c r="H27" s="4" t="s">
        <v>22</v>
      </c>
      <c r="I27" s="6">
        <v>2924496.9</v>
      </c>
      <c r="J27" s="6">
        <v>-7274.13</v>
      </c>
      <c r="K27" s="4" t="s">
        <v>34</v>
      </c>
      <c r="L27" s="4" t="s">
        <v>44</v>
      </c>
    </row>
    <row r="28" spans="1:12" x14ac:dyDescent="0.25">
      <c r="A28" t="s">
        <v>64</v>
      </c>
      <c r="B28" s="2">
        <v>46069.77083333333</v>
      </c>
      <c r="C28" s="2">
        <v>46120.77083333333</v>
      </c>
      <c r="D28" t="s">
        <v>36</v>
      </c>
      <c r="E28" t="s">
        <v>37</v>
      </c>
      <c r="F28" t="s">
        <v>46</v>
      </c>
      <c r="G28" s="7">
        <v>4013745.6</v>
      </c>
      <c r="H28" t="s">
        <v>22</v>
      </c>
      <c r="I28" s="7">
        <v>4594128.67</v>
      </c>
      <c r="J28" s="7">
        <v>-47355.62</v>
      </c>
      <c r="K28" t="s">
        <v>39</v>
      </c>
      <c r="L28" t="s">
        <v>24</v>
      </c>
    </row>
    <row r="29" spans="1:12" x14ac:dyDescent="0.25">
      <c r="A29" s="4" t="s">
        <v>65</v>
      </c>
      <c r="B29" s="5">
        <v>46037.77083333333</v>
      </c>
      <c r="C29" s="5">
        <v>46150.77083333333</v>
      </c>
      <c r="D29" s="4" t="s">
        <v>19</v>
      </c>
      <c r="E29" s="4" t="s">
        <v>42</v>
      </c>
      <c r="F29" s="4" t="s">
        <v>21</v>
      </c>
      <c r="G29" s="6">
        <v>4684533.92</v>
      </c>
      <c r="H29" s="4" t="s">
        <v>22</v>
      </c>
      <c r="I29" s="6">
        <v>4348418.33</v>
      </c>
      <c r="J29" s="6">
        <v>39333.73</v>
      </c>
      <c r="K29" s="4" t="s">
        <v>23</v>
      </c>
      <c r="L29" s="4" t="s">
        <v>24</v>
      </c>
    </row>
    <row r="30" spans="1:12" x14ac:dyDescent="0.25">
      <c r="A30" t="s">
        <v>66</v>
      </c>
      <c r="B30" s="2">
        <v>46033.77083333333</v>
      </c>
      <c r="C30" s="2">
        <v>46040.77083333333</v>
      </c>
      <c r="D30" t="s">
        <v>26</v>
      </c>
      <c r="E30" t="s">
        <v>20</v>
      </c>
      <c r="F30" t="s">
        <v>28</v>
      </c>
      <c r="G30" s="7">
        <v>2133051.09</v>
      </c>
      <c r="H30" t="s">
        <v>22</v>
      </c>
      <c r="I30" s="7">
        <v>2024943.04</v>
      </c>
      <c r="J30" s="7">
        <v>36882.84</v>
      </c>
      <c r="K30" t="s">
        <v>29</v>
      </c>
      <c r="L30" t="s">
        <v>24</v>
      </c>
    </row>
    <row r="31" spans="1:12" x14ac:dyDescent="0.25">
      <c r="A31" s="4" t="s">
        <v>67</v>
      </c>
      <c r="B31" s="5">
        <v>46028.77083333333</v>
      </c>
      <c r="C31" s="5">
        <v>46125.77083333333</v>
      </c>
      <c r="D31" s="4" t="s">
        <v>31</v>
      </c>
      <c r="E31" s="4" t="s">
        <v>27</v>
      </c>
      <c r="F31" s="4" t="s">
        <v>33</v>
      </c>
      <c r="G31" s="6">
        <v>2840717.31</v>
      </c>
      <c r="H31" s="4" t="s">
        <v>22</v>
      </c>
      <c r="I31" s="6">
        <v>2725181.73</v>
      </c>
      <c r="J31" s="6">
        <v>-4020.94</v>
      </c>
      <c r="K31" s="4" t="s">
        <v>34</v>
      </c>
      <c r="L31" s="4" t="s">
        <v>24</v>
      </c>
    </row>
    <row r="32" spans="1:12" x14ac:dyDescent="0.25">
      <c r="A32" t="s">
        <v>68</v>
      </c>
      <c r="B32" s="2">
        <v>46072.77083333333</v>
      </c>
      <c r="C32" s="2">
        <v>46139.77083333333</v>
      </c>
      <c r="D32" t="s">
        <v>36</v>
      </c>
      <c r="E32" t="s">
        <v>32</v>
      </c>
      <c r="F32" t="s">
        <v>38</v>
      </c>
      <c r="G32" s="7">
        <v>4382313.7</v>
      </c>
      <c r="H32" t="s">
        <v>22</v>
      </c>
      <c r="I32" s="7">
        <v>4831443.77</v>
      </c>
      <c r="J32" s="7">
        <v>50558.01</v>
      </c>
      <c r="K32" t="s">
        <v>39</v>
      </c>
      <c r="L32" t="s">
        <v>40</v>
      </c>
    </row>
    <row r="33" spans="1:12" x14ac:dyDescent="0.25">
      <c r="A33" s="4" t="s">
        <v>69</v>
      </c>
      <c r="B33" s="5">
        <v>46023.77083333333</v>
      </c>
      <c r="C33" s="5">
        <v>46059.77083333333</v>
      </c>
      <c r="D33" s="4" t="s">
        <v>19</v>
      </c>
      <c r="E33" s="4" t="s">
        <v>37</v>
      </c>
      <c r="F33" s="4" t="s">
        <v>43</v>
      </c>
      <c r="G33" s="6">
        <v>1682246.42</v>
      </c>
      <c r="H33" s="4" t="s">
        <v>22</v>
      </c>
      <c r="I33" s="6">
        <v>1588959.64</v>
      </c>
      <c r="J33" s="6">
        <v>25640.34</v>
      </c>
      <c r="K33" s="4" t="s">
        <v>23</v>
      </c>
      <c r="L33" s="4" t="s">
        <v>44</v>
      </c>
    </row>
    <row r="34" spans="1:12" x14ac:dyDescent="0.25">
      <c r="A34" t="s">
        <v>70</v>
      </c>
      <c r="B34" s="2">
        <v>46034.77083333333</v>
      </c>
      <c r="C34" s="2">
        <v>46071.77083333333</v>
      </c>
      <c r="D34" t="s">
        <v>26</v>
      </c>
      <c r="E34" t="s">
        <v>42</v>
      </c>
      <c r="F34" t="s">
        <v>46</v>
      </c>
      <c r="G34" s="7">
        <v>4835932.44</v>
      </c>
      <c r="H34" t="s">
        <v>22</v>
      </c>
      <c r="I34" s="7">
        <v>4448091.1</v>
      </c>
      <c r="J34" s="7">
        <v>-79018</v>
      </c>
      <c r="K34" t="s">
        <v>29</v>
      </c>
      <c r="L34" t="s">
        <v>24</v>
      </c>
    </row>
    <row r="35" spans="1:12" x14ac:dyDescent="0.25">
      <c r="A35" s="4" t="s">
        <v>71</v>
      </c>
      <c r="B35" s="5">
        <v>46082.77083333333</v>
      </c>
      <c r="C35" s="5">
        <v>46120.77083333333</v>
      </c>
      <c r="D35" s="4" t="s">
        <v>31</v>
      </c>
      <c r="E35" s="4" t="s">
        <v>20</v>
      </c>
      <c r="F35" s="4" t="s">
        <v>21</v>
      </c>
      <c r="G35" s="6">
        <v>4007155.33</v>
      </c>
      <c r="H35" s="4" t="s">
        <v>22</v>
      </c>
      <c r="I35" s="6">
        <v>3896740.92</v>
      </c>
      <c r="J35" s="6">
        <v>-46389.89</v>
      </c>
      <c r="K35" s="4" t="s">
        <v>34</v>
      </c>
      <c r="L35" s="4" t="s">
        <v>24</v>
      </c>
    </row>
    <row r="36" spans="1:12" x14ac:dyDescent="0.25">
      <c r="A36" t="s">
        <v>72</v>
      </c>
      <c r="B36" s="2">
        <v>46061.77083333333</v>
      </c>
      <c r="C36" s="2">
        <v>46176.77083333333</v>
      </c>
      <c r="D36" t="s">
        <v>36</v>
      </c>
      <c r="E36" t="s">
        <v>27</v>
      </c>
      <c r="F36" t="s">
        <v>28</v>
      </c>
      <c r="G36" s="7">
        <v>4349620.68</v>
      </c>
      <c r="H36" t="s">
        <v>22</v>
      </c>
      <c r="I36" s="7">
        <v>4251297.99</v>
      </c>
      <c r="J36" s="7">
        <v>-52452.17</v>
      </c>
      <c r="K36" t="s">
        <v>39</v>
      </c>
      <c r="L36" t="s">
        <v>24</v>
      </c>
    </row>
    <row r="37" spans="1:12" x14ac:dyDescent="0.25">
      <c r="A37" s="4" t="s">
        <v>73</v>
      </c>
      <c r="B37" s="5">
        <v>46023.77083333333</v>
      </c>
      <c r="C37" s="5">
        <v>46191.77083333333</v>
      </c>
      <c r="D37" s="4" t="s">
        <v>19</v>
      </c>
      <c r="E37" s="4" t="s">
        <v>32</v>
      </c>
      <c r="F37" s="4" t="s">
        <v>33</v>
      </c>
      <c r="G37" s="6">
        <v>2680564.62</v>
      </c>
      <c r="H37" s="4" t="s">
        <v>22</v>
      </c>
      <c r="I37" s="6">
        <v>2541025.98</v>
      </c>
      <c r="J37" s="6">
        <v>-3174.19</v>
      </c>
      <c r="K37" s="4" t="s">
        <v>23</v>
      </c>
      <c r="L37" s="4" t="s">
        <v>24</v>
      </c>
    </row>
    <row r="38" spans="1:12" x14ac:dyDescent="0.25">
      <c r="A38" t="s">
        <v>74</v>
      </c>
      <c r="B38" s="2">
        <v>46054.77083333333</v>
      </c>
      <c r="C38" s="2">
        <v>46132.77083333333</v>
      </c>
      <c r="D38" t="s">
        <v>26</v>
      </c>
      <c r="E38" t="s">
        <v>37</v>
      </c>
      <c r="F38" t="s">
        <v>38</v>
      </c>
      <c r="G38" s="7">
        <v>4426344.96</v>
      </c>
      <c r="H38" t="s">
        <v>22</v>
      </c>
      <c r="I38" s="7">
        <v>4393412.15</v>
      </c>
      <c r="J38" s="7">
        <v>55715.86</v>
      </c>
      <c r="K38" t="s">
        <v>29</v>
      </c>
      <c r="L38" t="s">
        <v>40</v>
      </c>
    </row>
    <row r="39" spans="1:12" x14ac:dyDescent="0.25">
      <c r="A39" s="4" t="s">
        <v>75</v>
      </c>
      <c r="B39" s="5">
        <v>46068.77083333333</v>
      </c>
      <c r="C39" s="5">
        <v>46241.77083333333</v>
      </c>
      <c r="D39" s="4" t="s">
        <v>31</v>
      </c>
      <c r="E39" s="4" t="s">
        <v>42</v>
      </c>
      <c r="F39" s="4" t="s">
        <v>43</v>
      </c>
      <c r="G39" s="6">
        <v>4680380.54</v>
      </c>
      <c r="H39" s="4" t="s">
        <v>22</v>
      </c>
      <c r="I39" s="6">
        <v>4110657.08</v>
      </c>
      <c r="J39" s="6">
        <v>92481.83</v>
      </c>
      <c r="K39" s="4" t="s">
        <v>34</v>
      </c>
      <c r="L39" s="4" t="s">
        <v>44</v>
      </c>
    </row>
    <row r="40" spans="1:12" x14ac:dyDescent="0.25">
      <c r="A40" t="s">
        <v>76</v>
      </c>
      <c r="B40" s="2">
        <v>46061.77083333333</v>
      </c>
      <c r="C40" s="2">
        <v>46151.77083333333</v>
      </c>
      <c r="D40" t="s">
        <v>36</v>
      </c>
      <c r="E40" t="s">
        <v>20</v>
      </c>
      <c r="F40" t="s">
        <v>46</v>
      </c>
      <c r="G40" s="7">
        <v>4713945.41</v>
      </c>
      <c r="H40" t="s">
        <v>22</v>
      </c>
      <c r="I40" s="7">
        <v>4325484.65</v>
      </c>
      <c r="J40" s="7">
        <v>-11517.25</v>
      </c>
      <c r="K40" t="s">
        <v>39</v>
      </c>
      <c r="L40" t="s">
        <v>24</v>
      </c>
    </row>
    <row r="41" spans="1:12" x14ac:dyDescent="0.25">
      <c r="A41" s="4" t="s">
        <v>77</v>
      </c>
      <c r="B41" s="5">
        <v>46040.77083333333</v>
      </c>
      <c r="C41" s="5">
        <v>46142.77083333333</v>
      </c>
      <c r="D41" s="4" t="s">
        <v>19</v>
      </c>
      <c r="E41" s="4" t="s">
        <v>27</v>
      </c>
      <c r="F41" s="4" t="s">
        <v>21</v>
      </c>
      <c r="G41" s="6">
        <v>2901360.44</v>
      </c>
      <c r="H41" s="4" t="s">
        <v>22</v>
      </c>
      <c r="I41" s="6">
        <v>3058009.92</v>
      </c>
      <c r="J41" s="6">
        <v>50283.77</v>
      </c>
      <c r="K41" s="4" t="s">
        <v>23</v>
      </c>
      <c r="L41" s="4" t="s">
        <v>24</v>
      </c>
    </row>
    <row r="42" spans="1:12" x14ac:dyDescent="0.25">
      <c r="A42" t="s">
        <v>78</v>
      </c>
      <c r="B42" s="2">
        <v>46078.77083333333</v>
      </c>
      <c r="C42" s="2">
        <v>46228.77083333333</v>
      </c>
      <c r="D42" t="s">
        <v>26</v>
      </c>
      <c r="E42" t="s">
        <v>32</v>
      </c>
      <c r="F42" t="s">
        <v>28</v>
      </c>
      <c r="G42" s="7">
        <v>3150799</v>
      </c>
      <c r="H42" t="s">
        <v>22</v>
      </c>
      <c r="I42" s="7">
        <v>2834527.82</v>
      </c>
      <c r="J42" s="7">
        <v>-17242.7</v>
      </c>
      <c r="K42" t="s">
        <v>29</v>
      </c>
      <c r="L42" t="s">
        <v>24</v>
      </c>
    </row>
    <row r="43" spans="1:12" x14ac:dyDescent="0.25">
      <c r="A43" s="4" t="s">
        <v>79</v>
      </c>
      <c r="B43" s="5">
        <v>46025.77083333333</v>
      </c>
      <c r="C43" s="5">
        <v>46099.77083333333</v>
      </c>
      <c r="D43" s="4" t="s">
        <v>31</v>
      </c>
      <c r="E43" s="4" t="s">
        <v>37</v>
      </c>
      <c r="F43" s="4" t="s">
        <v>33</v>
      </c>
      <c r="G43" s="6">
        <v>4226739.84</v>
      </c>
      <c r="H43" s="4" t="s">
        <v>22</v>
      </c>
      <c r="I43" s="6">
        <v>4429964.88</v>
      </c>
      <c r="J43" s="6">
        <v>-78733.36</v>
      </c>
      <c r="K43" s="4" t="s">
        <v>34</v>
      </c>
      <c r="L43" s="4" t="s">
        <v>24</v>
      </c>
    </row>
    <row r="44" spans="1:12" x14ac:dyDescent="0.25">
      <c r="A44" t="s">
        <v>80</v>
      </c>
      <c r="B44" s="2">
        <v>46047.77083333333</v>
      </c>
      <c r="C44" s="2">
        <v>46082.77083333333</v>
      </c>
      <c r="D44" t="s">
        <v>36</v>
      </c>
      <c r="E44" t="s">
        <v>42</v>
      </c>
      <c r="F44" t="s">
        <v>38</v>
      </c>
      <c r="G44" s="7">
        <v>2026497.39</v>
      </c>
      <c r="H44" t="s">
        <v>22</v>
      </c>
      <c r="I44" s="7">
        <v>1723309.62</v>
      </c>
      <c r="J44" s="7">
        <v>72665.28</v>
      </c>
      <c r="K44" t="s">
        <v>39</v>
      </c>
      <c r="L44" t="s">
        <v>40</v>
      </c>
    </row>
    <row r="45" spans="1:12" x14ac:dyDescent="0.25">
      <c r="A45" s="4" t="s">
        <v>81</v>
      </c>
      <c r="B45" s="5">
        <v>46056.77083333333</v>
      </c>
      <c r="C45" s="5">
        <v>46098.77083333333</v>
      </c>
      <c r="D45" s="4" t="s">
        <v>19</v>
      </c>
      <c r="E45" s="4" t="s">
        <v>20</v>
      </c>
      <c r="F45" s="4" t="s">
        <v>43</v>
      </c>
      <c r="G45" s="6">
        <v>4679428.79</v>
      </c>
      <c r="H45" s="4" t="s">
        <v>22</v>
      </c>
      <c r="I45" s="6">
        <v>5224530.54</v>
      </c>
      <c r="J45" s="6">
        <v>-78287.36</v>
      </c>
      <c r="K45" s="4" t="s">
        <v>23</v>
      </c>
      <c r="L45" s="4" t="s">
        <v>44</v>
      </c>
    </row>
    <row r="46" spans="1:12" x14ac:dyDescent="0.25">
      <c r="A46" t="s">
        <v>82</v>
      </c>
      <c r="B46" s="2">
        <v>46058.77083333333</v>
      </c>
      <c r="C46" s="2">
        <v>46065.77083333333</v>
      </c>
      <c r="D46" t="s">
        <v>26</v>
      </c>
      <c r="E46" t="s">
        <v>27</v>
      </c>
      <c r="F46" t="s">
        <v>46</v>
      </c>
      <c r="G46" s="7">
        <v>527570.32</v>
      </c>
      <c r="H46" t="s">
        <v>22</v>
      </c>
      <c r="I46" s="7">
        <v>595247.04</v>
      </c>
      <c r="J46" s="7">
        <v>-29545.01</v>
      </c>
      <c r="K46" t="s">
        <v>29</v>
      </c>
      <c r="L46" t="s">
        <v>24</v>
      </c>
    </row>
    <row r="47" spans="1:12" x14ac:dyDescent="0.25">
      <c r="A47" s="4" t="s">
        <v>83</v>
      </c>
      <c r="B47" s="5">
        <v>46047.77083333333</v>
      </c>
      <c r="C47" s="5">
        <v>46192.77083333333</v>
      </c>
      <c r="D47" s="4" t="s">
        <v>31</v>
      </c>
      <c r="E47" s="4" t="s">
        <v>32</v>
      </c>
      <c r="F47" s="4" t="s">
        <v>21</v>
      </c>
      <c r="G47" s="6">
        <v>4907762.72</v>
      </c>
      <c r="H47" s="4" t="s">
        <v>22</v>
      </c>
      <c r="I47" s="6">
        <v>4825241.85</v>
      </c>
      <c r="J47" s="6">
        <v>-37579.07</v>
      </c>
      <c r="K47" s="4" t="s">
        <v>34</v>
      </c>
      <c r="L47" s="4" t="s">
        <v>24</v>
      </c>
    </row>
    <row r="48" spans="1:12" x14ac:dyDescent="0.25">
      <c r="A48" t="s">
        <v>84</v>
      </c>
      <c r="B48" s="2">
        <v>46080.77083333333</v>
      </c>
      <c r="C48" s="2">
        <v>46136.77083333333</v>
      </c>
      <c r="D48" t="s">
        <v>36</v>
      </c>
      <c r="E48" t="s">
        <v>37</v>
      </c>
      <c r="F48" t="s">
        <v>28</v>
      </c>
      <c r="G48" s="7">
        <v>2883764.19</v>
      </c>
      <c r="H48" t="s">
        <v>22</v>
      </c>
      <c r="I48" s="7">
        <v>2545028.47</v>
      </c>
      <c r="J48" s="7">
        <v>-86789.62</v>
      </c>
      <c r="K48" t="s">
        <v>39</v>
      </c>
      <c r="L48" t="s">
        <v>24</v>
      </c>
    </row>
    <row r="49" spans="1:12" x14ac:dyDescent="0.25">
      <c r="A49" s="4" t="s">
        <v>85</v>
      </c>
      <c r="B49" s="5">
        <v>46053.77083333333</v>
      </c>
      <c r="C49" s="5">
        <v>46127.77083333333</v>
      </c>
      <c r="D49" s="4" t="s">
        <v>19</v>
      </c>
      <c r="E49" s="4" t="s">
        <v>42</v>
      </c>
      <c r="F49" s="4" t="s">
        <v>33</v>
      </c>
      <c r="G49" s="6">
        <v>422975.66</v>
      </c>
      <c r="H49" s="4" t="s">
        <v>22</v>
      </c>
      <c r="I49" s="6">
        <v>453299.36</v>
      </c>
      <c r="J49" s="6">
        <v>-25420.86</v>
      </c>
      <c r="K49" s="4" t="s">
        <v>23</v>
      </c>
      <c r="L49" s="4" t="s">
        <v>24</v>
      </c>
    </row>
    <row r="50" spans="1:12" x14ac:dyDescent="0.25">
      <c r="A50" t="s">
        <v>86</v>
      </c>
      <c r="B50" s="2">
        <v>46060.77083333333</v>
      </c>
      <c r="C50" s="2">
        <v>46138.77083333333</v>
      </c>
      <c r="D50" t="s">
        <v>26</v>
      </c>
      <c r="E50" t="s">
        <v>20</v>
      </c>
      <c r="F50" t="s">
        <v>38</v>
      </c>
      <c r="G50" s="7">
        <v>4790314.17</v>
      </c>
      <c r="H50" t="s">
        <v>22</v>
      </c>
      <c r="I50" s="7">
        <v>4949754.3</v>
      </c>
      <c r="J50" s="7">
        <v>36758.39</v>
      </c>
      <c r="K50" t="s">
        <v>29</v>
      </c>
      <c r="L50" t="s">
        <v>40</v>
      </c>
    </row>
    <row r="51" spans="1:12" x14ac:dyDescent="0.25">
      <c r="A51" s="4" t="s">
        <v>87</v>
      </c>
      <c r="B51" s="5">
        <v>46041.77083333333</v>
      </c>
      <c r="C51" s="5">
        <v>46105.77083333333</v>
      </c>
      <c r="D51" s="4" t="s">
        <v>31</v>
      </c>
      <c r="E51" s="4" t="s">
        <v>27</v>
      </c>
      <c r="F51" s="4" t="s">
        <v>43</v>
      </c>
      <c r="G51" s="6">
        <v>4362711.57</v>
      </c>
      <c r="H51" s="4" t="s">
        <v>22</v>
      </c>
      <c r="I51" s="6">
        <v>4222715.63</v>
      </c>
      <c r="J51" s="6">
        <v>48111.96</v>
      </c>
      <c r="K51" s="4" t="s">
        <v>34</v>
      </c>
      <c r="L51" s="4" t="s">
        <v>44</v>
      </c>
    </row>
    <row r="52" spans="1:12" x14ac:dyDescent="0.25">
      <c r="A52" t="s">
        <v>88</v>
      </c>
      <c r="B52" s="2">
        <v>46071.77083333333</v>
      </c>
      <c r="C52" s="2">
        <v>46125.77083333333</v>
      </c>
      <c r="D52" t="s">
        <v>36</v>
      </c>
      <c r="E52" t="s">
        <v>32</v>
      </c>
      <c r="F52" t="s">
        <v>46</v>
      </c>
      <c r="G52" s="7">
        <v>1893953.03</v>
      </c>
      <c r="H52" t="s">
        <v>22</v>
      </c>
      <c r="I52" s="7">
        <v>1768595.58</v>
      </c>
      <c r="J52" s="7">
        <v>-14400.83</v>
      </c>
      <c r="K52" t="s">
        <v>39</v>
      </c>
      <c r="L52" t="s">
        <v>24</v>
      </c>
    </row>
    <row r="53" spans="1:12" x14ac:dyDescent="0.25">
      <c r="A53" s="4" t="s">
        <v>89</v>
      </c>
      <c r="B53" s="5">
        <v>46031.77083333333</v>
      </c>
      <c r="C53" s="5">
        <v>46046.77083333333</v>
      </c>
      <c r="D53" s="4" t="s">
        <v>19</v>
      </c>
      <c r="E53" s="4" t="s">
        <v>37</v>
      </c>
      <c r="F53" s="4" t="s">
        <v>21</v>
      </c>
      <c r="G53" s="6">
        <v>3193409.72</v>
      </c>
      <c r="H53" s="4" t="s">
        <v>22</v>
      </c>
      <c r="I53" s="6">
        <v>3298953.68</v>
      </c>
      <c r="J53" s="6">
        <v>8136.19</v>
      </c>
      <c r="K53" s="4" t="s">
        <v>23</v>
      </c>
      <c r="L53" s="4" t="s">
        <v>24</v>
      </c>
    </row>
    <row r="54" spans="1:12" x14ac:dyDescent="0.25">
      <c r="A54" t="s">
        <v>90</v>
      </c>
      <c r="B54" s="2">
        <v>46057.77083333333</v>
      </c>
      <c r="C54" s="2">
        <v>46118.77083333333</v>
      </c>
      <c r="D54" t="s">
        <v>26</v>
      </c>
      <c r="E54" t="s">
        <v>42</v>
      </c>
      <c r="F54" t="s">
        <v>28</v>
      </c>
      <c r="G54" s="7">
        <v>4455339.66</v>
      </c>
      <c r="H54" t="s">
        <v>22</v>
      </c>
      <c r="I54" s="7">
        <v>3989736.67</v>
      </c>
      <c r="J54" s="7">
        <v>-7958.02</v>
      </c>
      <c r="K54" t="s">
        <v>29</v>
      </c>
      <c r="L54" t="s">
        <v>24</v>
      </c>
    </row>
    <row r="55" spans="1:12" x14ac:dyDescent="0.25">
      <c r="A55" s="4" t="s">
        <v>91</v>
      </c>
      <c r="B55" s="5">
        <v>46075.77083333333</v>
      </c>
      <c r="C55" s="5">
        <v>46143.77083333333</v>
      </c>
      <c r="D55" s="4" t="s">
        <v>31</v>
      </c>
      <c r="E55" s="4" t="s">
        <v>20</v>
      </c>
      <c r="F55" s="4" t="s">
        <v>33</v>
      </c>
      <c r="G55" s="6">
        <v>3733850.39</v>
      </c>
      <c r="H55" s="4" t="s">
        <v>22</v>
      </c>
      <c r="I55" s="6">
        <v>3850963.34</v>
      </c>
      <c r="J55" s="6">
        <v>35308.35</v>
      </c>
      <c r="K55" s="4" t="s">
        <v>34</v>
      </c>
      <c r="L55" s="4" t="s">
        <v>24</v>
      </c>
    </row>
    <row r="56" spans="1:12" x14ac:dyDescent="0.25">
      <c r="A56" t="s">
        <v>92</v>
      </c>
      <c r="B56" s="2">
        <v>46071.77083333333</v>
      </c>
      <c r="C56" s="2">
        <v>46118.77083333333</v>
      </c>
      <c r="D56" t="s">
        <v>36</v>
      </c>
      <c r="E56" t="s">
        <v>27</v>
      </c>
      <c r="F56" t="s">
        <v>38</v>
      </c>
      <c r="G56" s="7">
        <v>855777.61</v>
      </c>
      <c r="H56" t="s">
        <v>22</v>
      </c>
      <c r="I56" s="7">
        <v>750221.86</v>
      </c>
      <c r="J56" s="7">
        <v>-24206.89</v>
      </c>
      <c r="K56" t="s">
        <v>39</v>
      </c>
      <c r="L56" t="s">
        <v>40</v>
      </c>
    </row>
    <row r="57" spans="1:12" x14ac:dyDescent="0.25">
      <c r="A57" s="4" t="s">
        <v>93</v>
      </c>
      <c r="B57" s="5">
        <v>46046.77083333333</v>
      </c>
      <c r="C57" s="5">
        <v>46227.77083333333</v>
      </c>
      <c r="D57" s="4" t="s">
        <v>19</v>
      </c>
      <c r="E57" s="4" t="s">
        <v>32</v>
      </c>
      <c r="F57" s="4" t="s">
        <v>43</v>
      </c>
      <c r="G57" s="6">
        <v>839146.97</v>
      </c>
      <c r="H57" s="4" t="s">
        <v>22</v>
      </c>
      <c r="I57" s="6">
        <v>931595.38</v>
      </c>
      <c r="J57" s="6">
        <v>35060.51</v>
      </c>
      <c r="K57" s="4" t="s">
        <v>23</v>
      </c>
      <c r="L57" s="4" t="s">
        <v>44</v>
      </c>
    </row>
    <row r="58" spans="1:12" x14ac:dyDescent="0.25">
      <c r="A58" t="s">
        <v>94</v>
      </c>
      <c r="B58" s="2">
        <v>46032.77083333333</v>
      </c>
      <c r="C58" s="2">
        <v>46109.77083333333</v>
      </c>
      <c r="D58" t="s">
        <v>26</v>
      </c>
      <c r="E58" t="s">
        <v>37</v>
      </c>
      <c r="F58" t="s">
        <v>46</v>
      </c>
      <c r="G58" s="7">
        <v>3759085</v>
      </c>
      <c r="H58" t="s">
        <v>22</v>
      </c>
      <c r="I58" s="7">
        <v>3989201.49</v>
      </c>
      <c r="J58" s="7">
        <v>-45065.32</v>
      </c>
      <c r="K58" t="s">
        <v>29</v>
      </c>
      <c r="L58" t="s">
        <v>24</v>
      </c>
    </row>
    <row r="59" spans="1:12" x14ac:dyDescent="0.25">
      <c r="A59" s="4" t="s">
        <v>95</v>
      </c>
      <c r="B59" s="5">
        <v>46057.77083333333</v>
      </c>
      <c r="C59" s="5">
        <v>46109.77083333333</v>
      </c>
      <c r="D59" s="4" t="s">
        <v>31</v>
      </c>
      <c r="E59" s="4" t="s">
        <v>42</v>
      </c>
      <c r="F59" s="4" t="s">
        <v>21</v>
      </c>
      <c r="G59" s="6">
        <v>1033324.21</v>
      </c>
      <c r="H59" s="4" t="s">
        <v>22</v>
      </c>
      <c r="I59" s="6">
        <v>898230.42</v>
      </c>
      <c r="J59" s="6">
        <v>77042.76</v>
      </c>
      <c r="K59" s="4" t="s">
        <v>34</v>
      </c>
      <c r="L59" s="4" t="s">
        <v>24</v>
      </c>
    </row>
    <row r="60" spans="1:12" x14ac:dyDescent="0.25">
      <c r="A60" t="s">
        <v>96</v>
      </c>
      <c r="B60" s="2">
        <v>46032.77083333333</v>
      </c>
      <c r="C60" s="2">
        <v>46057.77083333333</v>
      </c>
      <c r="D60" t="s">
        <v>36</v>
      </c>
      <c r="E60" t="s">
        <v>20</v>
      </c>
      <c r="F60" t="s">
        <v>28</v>
      </c>
      <c r="G60" s="7">
        <v>4414122.25</v>
      </c>
      <c r="H60" t="s">
        <v>22</v>
      </c>
      <c r="I60" s="7">
        <v>4740744.58</v>
      </c>
      <c r="J60" s="7">
        <v>-54838.96</v>
      </c>
      <c r="K60" t="s">
        <v>39</v>
      </c>
      <c r="L60" t="s">
        <v>24</v>
      </c>
    </row>
    <row r="61" spans="1:12" x14ac:dyDescent="0.25">
      <c r="A61" s="4" t="s">
        <v>97</v>
      </c>
      <c r="B61" s="5">
        <v>46078.77083333333</v>
      </c>
      <c r="C61" s="5">
        <v>46234.77083333333</v>
      </c>
      <c r="D61" s="4" t="s">
        <v>19</v>
      </c>
      <c r="E61" s="4" t="s">
        <v>27</v>
      </c>
      <c r="F61" s="4" t="s">
        <v>33</v>
      </c>
      <c r="G61" s="6">
        <v>4536385.93</v>
      </c>
      <c r="H61" s="4" t="s">
        <v>22</v>
      </c>
      <c r="I61" s="6">
        <v>4480884.89</v>
      </c>
      <c r="J61" s="6">
        <v>-54337.27</v>
      </c>
      <c r="K61" s="4" t="s">
        <v>23</v>
      </c>
      <c r="L61" s="4" t="s">
        <v>24</v>
      </c>
    </row>
    <row r="62" spans="1:12" x14ac:dyDescent="0.25">
      <c r="A62" t="s">
        <v>98</v>
      </c>
      <c r="B62" s="2">
        <v>46025.77083333333</v>
      </c>
      <c r="C62" s="2">
        <v>46070.77083333333</v>
      </c>
      <c r="D62" t="s">
        <v>26</v>
      </c>
      <c r="E62" t="s">
        <v>32</v>
      </c>
      <c r="F62" t="s">
        <v>38</v>
      </c>
      <c r="G62" s="7">
        <v>2513346.3</v>
      </c>
      <c r="H62" t="s">
        <v>22</v>
      </c>
      <c r="I62" s="7">
        <v>2858256.08</v>
      </c>
      <c r="J62" s="7">
        <v>-78189.38</v>
      </c>
      <c r="K62" t="s">
        <v>29</v>
      </c>
      <c r="L62" t="s">
        <v>40</v>
      </c>
    </row>
    <row r="63" spans="1:12" x14ac:dyDescent="0.25">
      <c r="A63" s="4" t="s">
        <v>99</v>
      </c>
      <c r="B63" s="5">
        <v>46054.77083333333</v>
      </c>
      <c r="C63" s="5">
        <v>46117.77083333333</v>
      </c>
      <c r="D63" s="4" t="s">
        <v>31</v>
      </c>
      <c r="E63" s="4" t="s">
        <v>37</v>
      </c>
      <c r="F63" s="4" t="s">
        <v>43</v>
      </c>
      <c r="G63" s="6">
        <v>2953538.22</v>
      </c>
      <c r="H63" s="4" t="s">
        <v>22</v>
      </c>
      <c r="I63" s="6">
        <v>3175981.35</v>
      </c>
      <c r="J63" s="6">
        <v>82552.4</v>
      </c>
      <c r="K63" s="4" t="s">
        <v>34</v>
      </c>
      <c r="L63" s="4" t="s">
        <v>44</v>
      </c>
    </row>
    <row r="64" spans="1:12" x14ac:dyDescent="0.25">
      <c r="A64" t="s">
        <v>100</v>
      </c>
      <c r="B64" s="2">
        <v>46074.77083333333</v>
      </c>
      <c r="C64" s="2">
        <v>46094.77083333333</v>
      </c>
      <c r="D64" t="s">
        <v>36</v>
      </c>
      <c r="E64" t="s">
        <v>42</v>
      </c>
      <c r="F64" t="s">
        <v>46</v>
      </c>
      <c r="G64" s="7">
        <v>2953709.75</v>
      </c>
      <c r="H64" t="s">
        <v>22</v>
      </c>
      <c r="I64" s="7">
        <v>2813871.72</v>
      </c>
      <c r="J64" s="7">
        <v>99706.89</v>
      </c>
      <c r="K64" t="s">
        <v>39</v>
      </c>
      <c r="L64" t="s">
        <v>24</v>
      </c>
    </row>
    <row r="65" spans="1:12" x14ac:dyDescent="0.25">
      <c r="A65" s="4" t="s">
        <v>101</v>
      </c>
      <c r="B65" s="5">
        <v>46047.77083333333</v>
      </c>
      <c r="C65" s="5">
        <v>46050.77083333333</v>
      </c>
      <c r="D65" s="4" t="s">
        <v>19</v>
      </c>
      <c r="E65" s="4" t="s">
        <v>20</v>
      </c>
      <c r="F65" s="4" t="s">
        <v>21</v>
      </c>
      <c r="G65" s="6">
        <v>401826.3</v>
      </c>
      <c r="H65" s="4" t="s">
        <v>22</v>
      </c>
      <c r="I65" s="6">
        <v>376115.21</v>
      </c>
      <c r="J65" s="6">
        <v>48234.13</v>
      </c>
      <c r="K65" s="4" t="s">
        <v>23</v>
      </c>
      <c r="L65" s="4" t="s">
        <v>24</v>
      </c>
    </row>
    <row r="66" spans="1:12" x14ac:dyDescent="0.25">
      <c r="A66" t="s">
        <v>102</v>
      </c>
      <c r="B66" s="2">
        <v>46026.77083333333</v>
      </c>
      <c r="C66" s="2">
        <v>46165.77083333333</v>
      </c>
      <c r="D66" t="s">
        <v>26</v>
      </c>
      <c r="E66" t="s">
        <v>27</v>
      </c>
      <c r="F66" t="s">
        <v>28</v>
      </c>
      <c r="G66" s="7">
        <v>987290.91</v>
      </c>
      <c r="H66" t="s">
        <v>22</v>
      </c>
      <c r="I66" s="7">
        <v>1124783.02</v>
      </c>
      <c r="J66" s="7">
        <v>3120.79</v>
      </c>
      <c r="K66" t="s">
        <v>29</v>
      </c>
      <c r="L66" t="s">
        <v>24</v>
      </c>
    </row>
    <row r="67" spans="1:12" x14ac:dyDescent="0.25">
      <c r="A67" s="4" t="s">
        <v>103</v>
      </c>
      <c r="B67" s="5">
        <v>46051.77083333333</v>
      </c>
      <c r="C67" s="5">
        <v>46131.77083333333</v>
      </c>
      <c r="D67" s="4" t="s">
        <v>31</v>
      </c>
      <c r="E67" s="4" t="s">
        <v>32</v>
      </c>
      <c r="F67" s="4" t="s">
        <v>33</v>
      </c>
      <c r="G67" s="6">
        <v>1390084.55</v>
      </c>
      <c r="H67" s="4" t="s">
        <v>22</v>
      </c>
      <c r="I67" s="6">
        <v>1405191.64</v>
      </c>
      <c r="J67" s="6">
        <v>-74710.13</v>
      </c>
      <c r="K67" s="4" t="s">
        <v>34</v>
      </c>
      <c r="L67" s="4" t="s">
        <v>24</v>
      </c>
    </row>
    <row r="68" spans="1:12" x14ac:dyDescent="0.25">
      <c r="A68" t="s">
        <v>104</v>
      </c>
      <c r="B68" s="2">
        <v>46038.77083333333</v>
      </c>
      <c r="C68" s="2">
        <v>46150.77083333333</v>
      </c>
      <c r="D68" t="s">
        <v>36</v>
      </c>
      <c r="E68" t="s">
        <v>37</v>
      </c>
      <c r="F68" t="s">
        <v>38</v>
      </c>
      <c r="G68" s="7">
        <v>2108736.1</v>
      </c>
      <c r="H68" t="s">
        <v>22</v>
      </c>
      <c r="I68" s="7">
        <v>2032115.98</v>
      </c>
      <c r="J68" s="7">
        <v>-65945.53</v>
      </c>
      <c r="K68" t="s">
        <v>39</v>
      </c>
      <c r="L68" t="s">
        <v>40</v>
      </c>
    </row>
    <row r="69" spans="1:12" x14ac:dyDescent="0.25">
      <c r="A69" s="4" t="s">
        <v>105</v>
      </c>
      <c r="B69" s="5">
        <v>46061.77083333333</v>
      </c>
      <c r="C69" s="5">
        <v>46185.77083333333</v>
      </c>
      <c r="D69" s="4" t="s">
        <v>19</v>
      </c>
      <c r="E69" s="4" t="s">
        <v>42</v>
      </c>
      <c r="F69" s="4" t="s">
        <v>43</v>
      </c>
      <c r="G69" s="6">
        <v>2047828.3</v>
      </c>
      <c r="H69" s="4" t="s">
        <v>22</v>
      </c>
      <c r="I69" s="6">
        <v>1852407.56</v>
      </c>
      <c r="J69" s="6">
        <v>-47198.01</v>
      </c>
      <c r="K69" s="4" t="s">
        <v>23</v>
      </c>
      <c r="L69" s="4" t="s">
        <v>44</v>
      </c>
    </row>
    <row r="70" spans="1:12" x14ac:dyDescent="0.25">
      <c r="A70" t="s">
        <v>106</v>
      </c>
      <c r="B70" s="2">
        <v>46050.77083333333</v>
      </c>
      <c r="C70" s="2">
        <v>46117.77083333333</v>
      </c>
      <c r="D70" t="s">
        <v>26</v>
      </c>
      <c r="E70" t="s">
        <v>20</v>
      </c>
      <c r="F70" t="s">
        <v>46</v>
      </c>
      <c r="G70" s="7">
        <v>2552693.72</v>
      </c>
      <c r="H70" t="s">
        <v>22</v>
      </c>
      <c r="I70" s="7">
        <v>2727105.25</v>
      </c>
      <c r="J70" s="7">
        <v>-36385.38</v>
      </c>
      <c r="K70" t="s">
        <v>29</v>
      </c>
      <c r="L70" t="s">
        <v>24</v>
      </c>
    </row>
    <row r="71" spans="1:12" x14ac:dyDescent="0.25">
      <c r="A71" s="4" t="s">
        <v>107</v>
      </c>
      <c r="B71" s="5">
        <v>46041.77083333333</v>
      </c>
      <c r="C71" s="5">
        <v>46045.77083333333</v>
      </c>
      <c r="D71" s="4" t="s">
        <v>31</v>
      </c>
      <c r="E71" s="4" t="s">
        <v>27</v>
      </c>
      <c r="F71" s="4" t="s">
        <v>21</v>
      </c>
      <c r="G71" s="6">
        <v>3329904.84</v>
      </c>
      <c r="H71" s="4" t="s">
        <v>22</v>
      </c>
      <c r="I71" s="6">
        <v>3319518.4</v>
      </c>
      <c r="J71" s="6">
        <v>-23607.95</v>
      </c>
      <c r="K71" s="4" t="s">
        <v>34</v>
      </c>
      <c r="L71" s="4" t="s">
        <v>24</v>
      </c>
    </row>
    <row r="72" spans="1:12" x14ac:dyDescent="0.25">
      <c r="A72" t="s">
        <v>108</v>
      </c>
      <c r="B72" s="2">
        <v>46062.77083333333</v>
      </c>
      <c r="C72" s="2">
        <v>46122.77083333333</v>
      </c>
      <c r="D72" t="s">
        <v>36</v>
      </c>
      <c r="E72" t="s">
        <v>32</v>
      </c>
      <c r="F72" t="s">
        <v>28</v>
      </c>
      <c r="G72" s="7">
        <v>1380082.47</v>
      </c>
      <c r="H72" t="s">
        <v>22</v>
      </c>
      <c r="I72" s="7">
        <v>1426295.74</v>
      </c>
      <c r="J72" s="7">
        <v>72481.66</v>
      </c>
      <c r="K72" t="s">
        <v>39</v>
      </c>
      <c r="L72" t="s">
        <v>24</v>
      </c>
    </row>
    <row r="73" spans="1:12" x14ac:dyDescent="0.25">
      <c r="A73" s="4" t="s">
        <v>109</v>
      </c>
      <c r="B73" s="5">
        <v>46036.77083333333</v>
      </c>
      <c r="C73" s="5">
        <v>46089.77083333333</v>
      </c>
      <c r="D73" s="4" t="s">
        <v>19</v>
      </c>
      <c r="E73" s="4" t="s">
        <v>37</v>
      </c>
      <c r="F73" s="4" t="s">
        <v>33</v>
      </c>
      <c r="G73" s="6">
        <v>1089274.85</v>
      </c>
      <c r="H73" s="4" t="s">
        <v>22</v>
      </c>
      <c r="I73" s="6">
        <v>1058407.02</v>
      </c>
      <c r="J73" s="6">
        <v>-89487.02</v>
      </c>
      <c r="K73" s="4" t="s">
        <v>23</v>
      </c>
      <c r="L73" s="4" t="s">
        <v>24</v>
      </c>
    </row>
    <row r="74" spans="1:12" x14ac:dyDescent="0.25">
      <c r="A74" t="s">
        <v>110</v>
      </c>
      <c r="B74" s="2">
        <v>46034.77083333333</v>
      </c>
      <c r="C74" s="2">
        <v>46131.77083333333</v>
      </c>
      <c r="D74" t="s">
        <v>26</v>
      </c>
      <c r="E74" t="s">
        <v>42</v>
      </c>
      <c r="F74" t="s">
        <v>38</v>
      </c>
      <c r="G74" s="7">
        <v>573872.66</v>
      </c>
      <c r="H74" t="s">
        <v>22</v>
      </c>
      <c r="I74" s="7">
        <v>489280.71</v>
      </c>
      <c r="J74" s="7">
        <v>77032.9</v>
      </c>
      <c r="K74" t="s">
        <v>29</v>
      </c>
      <c r="L74" t="s">
        <v>40</v>
      </c>
    </row>
    <row r="75" spans="1:12" x14ac:dyDescent="0.25">
      <c r="A75" s="4" t="s">
        <v>111</v>
      </c>
      <c r="B75" s="5">
        <v>46045.77083333333</v>
      </c>
      <c r="C75" s="5">
        <v>46190.77083333333</v>
      </c>
      <c r="D75" s="4" t="s">
        <v>31</v>
      </c>
      <c r="E75" s="4" t="s">
        <v>20</v>
      </c>
      <c r="F75" s="4" t="s">
        <v>43</v>
      </c>
      <c r="G75" s="6">
        <v>1253361.4</v>
      </c>
      <c r="H75" s="4" t="s">
        <v>22</v>
      </c>
      <c r="I75" s="6">
        <v>1323323.4</v>
      </c>
      <c r="J75" s="6">
        <v>97024.45</v>
      </c>
      <c r="K75" s="4" t="s">
        <v>34</v>
      </c>
      <c r="L75" s="4" t="s">
        <v>44</v>
      </c>
    </row>
    <row r="76" spans="1:12" x14ac:dyDescent="0.25">
      <c r="A76" t="s">
        <v>112</v>
      </c>
      <c r="B76" s="2">
        <v>46052.77083333333</v>
      </c>
      <c r="C76" s="2">
        <v>46166.77083333333</v>
      </c>
      <c r="D76" t="s">
        <v>36</v>
      </c>
      <c r="E76" t="s">
        <v>27</v>
      </c>
      <c r="F76" t="s">
        <v>46</v>
      </c>
      <c r="G76" s="7">
        <v>1446404.02</v>
      </c>
      <c r="H76" t="s">
        <v>22</v>
      </c>
      <c r="I76" s="7">
        <v>1624572.01</v>
      </c>
      <c r="J76" s="7">
        <v>38880.92</v>
      </c>
      <c r="K76" t="s">
        <v>39</v>
      </c>
      <c r="L76" t="s">
        <v>24</v>
      </c>
    </row>
    <row r="77" spans="1:12" x14ac:dyDescent="0.25">
      <c r="A77" s="4" t="s">
        <v>113</v>
      </c>
      <c r="B77" s="5">
        <v>46049.77083333333</v>
      </c>
      <c r="C77" s="5">
        <v>46102.77083333333</v>
      </c>
      <c r="D77" s="4" t="s">
        <v>19</v>
      </c>
      <c r="E77" s="4" t="s">
        <v>32</v>
      </c>
      <c r="F77" s="4" t="s">
        <v>21</v>
      </c>
      <c r="G77" s="6">
        <v>2840989.32</v>
      </c>
      <c r="H77" s="4" t="s">
        <v>22</v>
      </c>
      <c r="I77" s="6">
        <v>2764738.09</v>
      </c>
      <c r="J77" s="6">
        <v>84799.1</v>
      </c>
      <c r="K77" s="4" t="s">
        <v>23</v>
      </c>
      <c r="L77" s="4" t="s">
        <v>24</v>
      </c>
    </row>
    <row r="78" spans="1:12" x14ac:dyDescent="0.25">
      <c r="A78" t="s">
        <v>114</v>
      </c>
      <c r="B78" s="2">
        <v>46036.77083333333</v>
      </c>
      <c r="C78" s="2">
        <v>46048.77083333333</v>
      </c>
      <c r="D78" t="s">
        <v>26</v>
      </c>
      <c r="E78" t="s">
        <v>37</v>
      </c>
      <c r="F78" t="s">
        <v>28</v>
      </c>
      <c r="G78" s="7">
        <v>2023200.13</v>
      </c>
      <c r="H78" t="s">
        <v>22</v>
      </c>
      <c r="I78" s="7">
        <v>1745816.43</v>
      </c>
      <c r="J78" s="7">
        <v>3774.5</v>
      </c>
      <c r="K78" t="s">
        <v>29</v>
      </c>
      <c r="L78" t="s">
        <v>24</v>
      </c>
    </row>
    <row r="79" spans="1:12" x14ac:dyDescent="0.25">
      <c r="A79" s="4" t="s">
        <v>115</v>
      </c>
      <c r="B79" s="5">
        <v>46073.77083333333</v>
      </c>
      <c r="C79" s="5">
        <v>46175.77083333333</v>
      </c>
      <c r="D79" s="4" t="s">
        <v>31</v>
      </c>
      <c r="E79" s="4" t="s">
        <v>42</v>
      </c>
      <c r="F79" s="4" t="s">
        <v>33</v>
      </c>
      <c r="G79" s="6">
        <v>603745.26</v>
      </c>
      <c r="H79" s="4" t="s">
        <v>22</v>
      </c>
      <c r="I79" s="6">
        <v>634782.57</v>
      </c>
      <c r="J79" s="6">
        <v>-45400.45</v>
      </c>
      <c r="K79" s="4" t="s">
        <v>34</v>
      </c>
      <c r="L79" s="4" t="s">
        <v>24</v>
      </c>
    </row>
    <row r="80" spans="1:12" x14ac:dyDescent="0.25">
      <c r="A80" t="s">
        <v>116</v>
      </c>
      <c r="B80" s="2">
        <v>46032.77083333333</v>
      </c>
      <c r="C80" s="2">
        <v>46142.77083333333</v>
      </c>
      <c r="D80" t="s">
        <v>36</v>
      </c>
      <c r="E80" t="s">
        <v>20</v>
      </c>
      <c r="F80" t="s">
        <v>38</v>
      </c>
      <c r="G80" s="7">
        <v>4568582.56</v>
      </c>
      <c r="H80" t="s">
        <v>22</v>
      </c>
      <c r="I80" s="7">
        <v>4271614.71</v>
      </c>
      <c r="J80" s="7">
        <v>-4745.87</v>
      </c>
      <c r="K80" t="s">
        <v>39</v>
      </c>
      <c r="L80" t="s">
        <v>40</v>
      </c>
    </row>
    <row r="81" spans="1:12" x14ac:dyDescent="0.25">
      <c r="A81" s="4" t="s">
        <v>117</v>
      </c>
      <c r="B81" s="5">
        <v>46076.77083333333</v>
      </c>
      <c r="C81" s="5">
        <v>46101.77083333333</v>
      </c>
      <c r="D81" s="4" t="s">
        <v>19</v>
      </c>
      <c r="E81" s="4" t="s">
        <v>27</v>
      </c>
      <c r="F81" s="4" t="s">
        <v>43</v>
      </c>
      <c r="G81" s="6">
        <v>4467537.08</v>
      </c>
      <c r="H81" s="4" t="s">
        <v>22</v>
      </c>
      <c r="I81" s="6">
        <v>3870094.67</v>
      </c>
      <c r="J81" s="6">
        <v>60306.7</v>
      </c>
      <c r="K81" s="4" t="s">
        <v>23</v>
      </c>
      <c r="L81" s="4" t="s">
        <v>44</v>
      </c>
    </row>
    <row r="82" spans="1:12" x14ac:dyDescent="0.25">
      <c r="A82" t="s">
        <v>118</v>
      </c>
      <c r="B82" s="2">
        <v>46061.77083333333</v>
      </c>
      <c r="C82" s="2">
        <v>46081.77083333333</v>
      </c>
      <c r="D82" t="s">
        <v>26</v>
      </c>
      <c r="E82" t="s">
        <v>32</v>
      </c>
      <c r="F82" t="s">
        <v>46</v>
      </c>
      <c r="G82" s="7">
        <v>2805568.52</v>
      </c>
      <c r="H82" t="s">
        <v>22</v>
      </c>
      <c r="I82" s="7">
        <v>3166200.75</v>
      </c>
      <c r="J82" s="7">
        <v>28382.27</v>
      </c>
      <c r="K82" t="s">
        <v>29</v>
      </c>
      <c r="L82" t="s">
        <v>24</v>
      </c>
    </row>
    <row r="83" spans="1:12" x14ac:dyDescent="0.25">
      <c r="A83" s="4" t="s">
        <v>119</v>
      </c>
      <c r="B83" s="5">
        <v>46025.77083333333</v>
      </c>
      <c r="C83" s="5">
        <v>46139.77083333333</v>
      </c>
      <c r="D83" s="4" t="s">
        <v>31</v>
      </c>
      <c r="E83" s="4" t="s">
        <v>37</v>
      </c>
      <c r="F83" s="4" t="s">
        <v>21</v>
      </c>
      <c r="G83" s="6">
        <v>3212230.75</v>
      </c>
      <c r="H83" s="4" t="s">
        <v>22</v>
      </c>
      <c r="I83" s="6">
        <v>2937836.93</v>
      </c>
      <c r="J83" s="6">
        <v>-77715.38</v>
      </c>
      <c r="K83" s="4" t="s">
        <v>34</v>
      </c>
      <c r="L83" s="4" t="s">
        <v>24</v>
      </c>
    </row>
    <row r="84" spans="1:12" x14ac:dyDescent="0.25">
      <c r="A84" t="s">
        <v>120</v>
      </c>
      <c r="B84" s="2">
        <v>46075.77083333333</v>
      </c>
      <c r="C84" s="2">
        <v>46244.77083333333</v>
      </c>
      <c r="D84" t="s">
        <v>36</v>
      </c>
      <c r="E84" t="s">
        <v>42</v>
      </c>
      <c r="F84" t="s">
        <v>28</v>
      </c>
      <c r="G84" s="7">
        <v>3071393.47</v>
      </c>
      <c r="H84" t="s">
        <v>22</v>
      </c>
      <c r="I84" s="7">
        <v>2977208.41</v>
      </c>
      <c r="J84" s="7">
        <v>-23751.84</v>
      </c>
      <c r="K84" t="s">
        <v>39</v>
      </c>
      <c r="L84" t="s">
        <v>24</v>
      </c>
    </row>
    <row r="85" spans="1:12" s="8" customFormat="1" x14ac:dyDescent="0.25">
      <c r="A85" s="8" t="s">
        <v>121</v>
      </c>
      <c r="B85" s="8" t="s">
        <v>122</v>
      </c>
      <c r="C85" s="8" t="s">
        <v>122</v>
      </c>
      <c r="D85" s="8" t="s">
        <v>122</v>
      </c>
      <c r="E85" s="8" t="s">
        <v>122</v>
      </c>
      <c r="F85" s="8" t="s">
        <v>122</v>
      </c>
      <c r="G85" s="9">
        <f>SUM(G5:G84)</f>
      </c>
      <c r="H85" s="8" t="s">
        <v>122</v>
      </c>
      <c r="I85" s="9">
        <f>SUM(I5:I84)</f>
      </c>
      <c r="J85" s="9">
        <f>SUM(J5:J84)</f>
      </c>
      <c r="K85" s="8" t="s">
        <v>122</v>
      </c>
      <c r="L85" s="8" t="s">
        <v>122</v>
      </c>
    </row>
  </sheetData>
  <autoFilter ref="A4:L4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G13"/>
  <sheetFormatPr defaultRowHeight="15" outlineLevelRow="0" outlineLevelCol="0" x14ac:dyDescent="55"/>
  <cols>
    <col min="1" max="1" width="10" customWidth="1"/>
    <col min="2" max="2" width="34" customWidth="1"/>
    <col min="3" max="3" width="14" customWidth="1"/>
    <col min="4" max="4" width="20" customWidth="1"/>
    <col min="5" max="5" width="14" customWidth="1"/>
    <col min="6" max="6" width="24" customWidth="1"/>
    <col min="7" max="7" width="10" customWidth="1"/>
  </cols>
  <sheetData>
    <row r="1" spans="1:7" x14ac:dyDescent="0.25">
      <c r="A1" s="1" t="s">
        <v>123</v>
      </c>
      <c r="B1" s="1"/>
      <c r="C1" s="1"/>
      <c r="D1" s="1"/>
      <c r="E1" s="1"/>
      <c r="F1" s="1"/>
      <c r="G1" s="1"/>
    </row>
    <row r="3" ht="18" customHeight="1" spans="1:7" x14ac:dyDescent="0.25">
      <c r="A3" s="3" t="s">
        <v>124</v>
      </c>
      <c r="B3" s="3" t="s">
        <v>125</v>
      </c>
      <c r="C3" s="3" t="s">
        <v>126</v>
      </c>
      <c r="D3" s="3" t="s">
        <v>127</v>
      </c>
      <c r="E3" s="3" t="s">
        <v>128</v>
      </c>
      <c r="F3" s="3" t="s">
        <v>129</v>
      </c>
      <c r="G3" s="3" t="s">
        <v>17</v>
      </c>
    </row>
    <row r="4" spans="1:7" x14ac:dyDescent="0.25">
      <c r="A4" s="4" t="s">
        <v>42</v>
      </c>
      <c r="B4" s="4" t="s">
        <v>130</v>
      </c>
      <c r="C4" s="4" t="s">
        <v>131</v>
      </c>
      <c r="D4" s="4" t="s">
        <v>132</v>
      </c>
      <c r="E4" s="4" t="s">
        <v>133</v>
      </c>
      <c r="F4" s="4" t="s">
        <v>134</v>
      </c>
      <c r="G4" s="4" t="s">
        <v>5</v>
      </c>
    </row>
    <row r="5" spans="1:7" x14ac:dyDescent="0.25">
      <c r="A5" t="s">
        <v>20</v>
      </c>
      <c r="B5" t="s">
        <v>135</v>
      </c>
      <c r="C5" t="s">
        <v>136</v>
      </c>
      <c r="D5" t="s">
        <v>132</v>
      </c>
      <c r="E5" t="s">
        <v>137</v>
      </c>
      <c r="F5" t="s">
        <v>138</v>
      </c>
      <c r="G5" t="s">
        <v>5</v>
      </c>
    </row>
    <row r="6" spans="1:7" x14ac:dyDescent="0.25">
      <c r="A6" s="4" t="s">
        <v>27</v>
      </c>
      <c r="B6" s="4" t="s">
        <v>139</v>
      </c>
      <c r="C6" s="4" t="s">
        <v>140</v>
      </c>
      <c r="D6" s="4" t="s">
        <v>132</v>
      </c>
      <c r="E6" s="4" t="s">
        <v>133</v>
      </c>
      <c r="F6" s="4" t="s">
        <v>141</v>
      </c>
      <c r="G6" s="4" t="s">
        <v>5</v>
      </c>
    </row>
    <row r="7" spans="1:7" x14ac:dyDescent="0.25">
      <c r="A7" t="s">
        <v>32</v>
      </c>
      <c r="B7" t="s">
        <v>142</v>
      </c>
      <c r="C7" t="s">
        <v>143</v>
      </c>
      <c r="D7" t="s">
        <v>132</v>
      </c>
      <c r="E7" t="s">
        <v>144</v>
      </c>
      <c r="F7" t="s">
        <v>145</v>
      </c>
      <c r="G7" t="s">
        <v>5</v>
      </c>
    </row>
    <row r="8" spans="1:7" x14ac:dyDescent="0.25">
      <c r="A8" s="4" t="s">
        <v>37</v>
      </c>
      <c r="B8" s="4" t="s">
        <v>146</v>
      </c>
      <c r="C8" s="4" t="s">
        <v>143</v>
      </c>
      <c r="D8" s="4" t="s">
        <v>147</v>
      </c>
      <c r="E8" s="4" t="s">
        <v>137</v>
      </c>
      <c r="F8" s="4" t="s">
        <v>148</v>
      </c>
      <c r="G8" s="4" t="s">
        <v>5</v>
      </c>
    </row>
    <row r="9" spans="1:7" x14ac:dyDescent="0.25">
      <c r="A9" t="s">
        <v>149</v>
      </c>
      <c r="B9" t="s">
        <v>150</v>
      </c>
      <c r="C9" t="s">
        <v>151</v>
      </c>
      <c r="D9" t="s">
        <v>132</v>
      </c>
      <c r="E9" t="s">
        <v>152</v>
      </c>
      <c r="F9" t="s">
        <v>153</v>
      </c>
      <c r="G9" t="s">
        <v>5</v>
      </c>
    </row>
    <row r="10" spans="1:7" x14ac:dyDescent="0.25">
      <c r="A10" s="4" t="s">
        <v>154</v>
      </c>
      <c r="B10" s="4" t="s">
        <v>155</v>
      </c>
      <c r="C10" s="4" t="s">
        <v>136</v>
      </c>
      <c r="D10" s="4" t="s">
        <v>132</v>
      </c>
      <c r="E10" s="4" t="s">
        <v>144</v>
      </c>
      <c r="F10" s="4" t="s">
        <v>156</v>
      </c>
      <c r="G10" s="4" t="s">
        <v>5</v>
      </c>
    </row>
    <row r="11" spans="1:7" x14ac:dyDescent="0.25">
      <c r="A11" t="s">
        <v>157</v>
      </c>
      <c r="B11" t="s">
        <v>158</v>
      </c>
      <c r="C11" t="s">
        <v>140</v>
      </c>
      <c r="D11" t="s">
        <v>132</v>
      </c>
      <c r="E11" t="s">
        <v>144</v>
      </c>
      <c r="F11" t="s">
        <v>159</v>
      </c>
      <c r="G11" t="s">
        <v>160</v>
      </c>
    </row>
    <row r="12" spans="1:7" x14ac:dyDescent="0.25">
      <c r="A12" s="4" t="s">
        <v>161</v>
      </c>
      <c r="B12" s="4" t="s">
        <v>162</v>
      </c>
      <c r="C12" s="4" t="s">
        <v>140</v>
      </c>
      <c r="D12" s="4" t="s">
        <v>132</v>
      </c>
      <c r="E12" s="4" t="s">
        <v>163</v>
      </c>
      <c r="F12" s="4" t="s">
        <v>164</v>
      </c>
      <c r="G12" s="4" t="s">
        <v>5</v>
      </c>
    </row>
    <row r="13" spans="1:7" x14ac:dyDescent="0.25">
      <c r="A13" t="s">
        <v>165</v>
      </c>
      <c r="B13" t="s">
        <v>166</v>
      </c>
      <c r="C13" t="s">
        <v>167</v>
      </c>
      <c r="D13" t="s">
        <v>132</v>
      </c>
      <c r="E13" t="s">
        <v>137</v>
      </c>
      <c r="F13" t="s">
        <v>168</v>
      </c>
      <c r="G13" t="s">
        <v>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H19"/>
  <sheetFormatPr defaultRowHeight="15" outlineLevelRow="0" outlineLevelCol="0" x14ac:dyDescent="55"/>
  <cols>
    <col min="1" max="1" width="14" customWidth="1"/>
    <col min="2" max="2" width="16" customWidth="1"/>
    <col min="3" max="3" width="18" customWidth="1"/>
    <col min="4" max="4" width="12" customWidth="1"/>
    <col min="5" max="8" width="16" customWidth="1"/>
  </cols>
  <sheetData>
    <row r="1" spans="1:8" x14ac:dyDescent="0.25">
      <c r="A1" s="1" t="s">
        <v>169</v>
      </c>
      <c r="B1" s="1"/>
      <c r="C1" s="1"/>
      <c r="D1" s="1"/>
      <c r="E1" s="1"/>
      <c r="F1" s="1"/>
      <c r="G1" s="1"/>
      <c r="H1" s="1"/>
    </row>
    <row r="2" spans="1:1" x14ac:dyDescent="0.25">
      <c r="A2" s="10" t="s">
        <v>170</v>
      </c>
    </row>
    <row r="4" ht="18" customHeight="1" spans="1:8" x14ac:dyDescent="0.25">
      <c r="A4" s="3" t="s">
        <v>171</v>
      </c>
      <c r="B4" s="3" t="s">
        <v>9</v>
      </c>
      <c r="C4" s="3" t="s">
        <v>172</v>
      </c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</row>
    <row r="5" spans="1:8" x14ac:dyDescent="0.25">
      <c r="A5" s="4" t="s">
        <v>178</v>
      </c>
      <c r="B5" s="4" t="s">
        <v>36</v>
      </c>
      <c r="C5" s="11">
        <v>45200000</v>
      </c>
      <c r="D5" s="12">
        <v>1.0823</v>
      </c>
      <c r="E5" s="6">
        <v>312500</v>
      </c>
      <c r="F5" s="6">
        <v>-145200</v>
      </c>
      <c r="G5" s="6">
        <v>89300</v>
      </c>
      <c r="H5" s="6">
        <f>E5+F5+G5</f>
      </c>
    </row>
    <row r="6" spans="1:8" x14ac:dyDescent="0.25">
      <c r="A6" t="s">
        <v>178</v>
      </c>
      <c r="B6" t="s">
        <v>19</v>
      </c>
      <c r="C6" s="13">
        <v>78500000</v>
      </c>
      <c r="D6" s="14">
        <v>1.0791</v>
      </c>
      <c r="E6" s="7">
        <v>-245000</v>
      </c>
      <c r="F6" s="7">
        <v>412300</v>
      </c>
      <c r="G6" s="7">
        <v>-189000</v>
      </c>
      <c r="H6" s="7">
        <f>E6+F6+G6</f>
      </c>
    </row>
    <row r="7" spans="1:8" x14ac:dyDescent="0.25">
      <c r="A7" s="4" t="s">
        <v>178</v>
      </c>
      <c r="B7" s="4" t="s">
        <v>26</v>
      </c>
      <c r="C7" s="11">
        <v>12300000</v>
      </c>
      <c r="D7" s="12">
        <v>1.085</v>
      </c>
      <c r="E7" s="6">
        <v>145000</v>
      </c>
      <c r="F7" s="6">
        <v>67800</v>
      </c>
      <c r="G7" s="6">
        <v>234500</v>
      </c>
      <c r="H7" s="6">
        <f>E7+F7+G7</f>
      </c>
    </row>
    <row r="8" spans="1:8" x14ac:dyDescent="0.25">
      <c r="A8" t="s">
        <v>179</v>
      </c>
      <c r="B8" t="s">
        <v>36</v>
      </c>
      <c r="C8" s="13">
        <v>23400000</v>
      </c>
      <c r="D8" s="14">
        <v>1.2634</v>
      </c>
      <c r="E8" s="7">
        <v>-89200</v>
      </c>
      <c r="F8" s="7">
        <v>156700</v>
      </c>
      <c r="G8" s="7">
        <v>-45600</v>
      </c>
      <c r="H8" s="7">
        <f>E8+F8+G8</f>
      </c>
    </row>
    <row r="9" spans="1:8" x14ac:dyDescent="0.25">
      <c r="A9" s="4" t="s">
        <v>179</v>
      </c>
      <c r="B9" s="4" t="s">
        <v>19</v>
      </c>
      <c r="C9" s="11">
        <v>56700000</v>
      </c>
      <c r="D9" s="12">
        <v>1.261</v>
      </c>
      <c r="E9" s="6">
        <v>345600</v>
      </c>
      <c r="F9" s="6">
        <v>-234500</v>
      </c>
      <c r="G9" s="6">
        <v>123400</v>
      </c>
      <c r="H9" s="6">
        <f>E9+F9+G9</f>
      </c>
    </row>
    <row r="10" spans="1:8" x14ac:dyDescent="0.25">
      <c r="A10" t="s">
        <v>179</v>
      </c>
      <c r="B10" t="s">
        <v>31</v>
      </c>
      <c r="C10" s="13">
        <v>18900000</v>
      </c>
      <c r="D10" s="14">
        <v>1.2658</v>
      </c>
      <c r="E10" s="7">
        <v>-23400</v>
      </c>
      <c r="F10" s="7">
        <v>45600</v>
      </c>
      <c r="G10" s="7">
        <v>78900</v>
      </c>
      <c r="H10" s="7">
        <f>E10+F10+G10</f>
      </c>
    </row>
    <row r="11" spans="1:8" x14ac:dyDescent="0.25">
      <c r="A11" s="4" t="s">
        <v>180</v>
      </c>
      <c r="B11" s="4" t="s">
        <v>36</v>
      </c>
      <c r="C11" s="11">
        <v>89000000</v>
      </c>
      <c r="D11" s="12">
        <v>0.0067</v>
      </c>
      <c r="E11" s="6">
        <v>456700</v>
      </c>
      <c r="F11" s="6">
        <v>-345600</v>
      </c>
      <c r="G11" s="6">
        <v>234500</v>
      </c>
      <c r="H11" s="6">
        <f>E11+F11+G11</f>
      </c>
    </row>
    <row r="12" spans="1:8" x14ac:dyDescent="0.25">
      <c r="A12" t="s">
        <v>180</v>
      </c>
      <c r="B12" t="s">
        <v>19</v>
      </c>
      <c r="C12" s="13">
        <v>34500000</v>
      </c>
      <c r="D12" s="14">
        <v>0.0066</v>
      </c>
      <c r="E12" s="7">
        <v>-123400</v>
      </c>
      <c r="F12" s="7">
        <v>234500</v>
      </c>
      <c r="G12" s="7">
        <v>-156700</v>
      </c>
      <c r="H12" s="7">
        <f>E12+F12+G12</f>
      </c>
    </row>
    <row r="13" spans="1:8" x14ac:dyDescent="0.25">
      <c r="A13" s="4" t="s">
        <v>181</v>
      </c>
      <c r="B13" s="4" t="s">
        <v>36</v>
      </c>
      <c r="C13" s="11">
        <v>15600000</v>
      </c>
      <c r="D13" s="12">
        <v>0.6523</v>
      </c>
      <c r="E13" s="6">
        <v>67800</v>
      </c>
      <c r="F13" s="6">
        <v>-89200</v>
      </c>
      <c r="G13" s="6">
        <v>45600</v>
      </c>
      <c r="H13" s="6">
        <f>E13+F13+G13</f>
      </c>
    </row>
    <row r="14" spans="1:8" x14ac:dyDescent="0.25">
      <c r="A14" t="s">
        <v>181</v>
      </c>
      <c r="B14" t="s">
        <v>19</v>
      </c>
      <c r="C14" s="13">
        <v>28900000</v>
      </c>
      <c r="D14" s="14">
        <v>0.6498</v>
      </c>
      <c r="E14" s="7">
        <v>-145600</v>
      </c>
      <c r="F14" s="7">
        <v>178900</v>
      </c>
      <c r="G14" s="7">
        <v>-67800</v>
      </c>
      <c r="H14" s="7">
        <f>E14+F14+G14</f>
      </c>
    </row>
    <row r="15" spans="1:8" x14ac:dyDescent="0.25">
      <c r="A15" s="4" t="s">
        <v>182</v>
      </c>
      <c r="B15" s="4" t="s">
        <v>36</v>
      </c>
      <c r="C15" s="11">
        <v>19800000</v>
      </c>
      <c r="D15" s="12">
        <v>1.1234</v>
      </c>
      <c r="E15" s="6">
        <v>234500</v>
      </c>
      <c r="F15" s="6">
        <v>-123400</v>
      </c>
      <c r="G15" s="6">
        <v>89200</v>
      </c>
      <c r="H15" s="6">
        <f>E15+F15+G15</f>
      </c>
    </row>
    <row r="16" spans="1:8" x14ac:dyDescent="0.25">
      <c r="A16" t="s">
        <v>182</v>
      </c>
      <c r="B16" t="s">
        <v>31</v>
      </c>
      <c r="C16" s="13">
        <v>11200000</v>
      </c>
      <c r="D16" s="14">
        <v>1.1198</v>
      </c>
      <c r="E16" s="7">
        <v>-56700</v>
      </c>
      <c r="F16" s="7">
        <v>78900</v>
      </c>
      <c r="G16" s="7">
        <v>-34500</v>
      </c>
      <c r="H16" s="7">
        <f>E16+F16+G16</f>
      </c>
    </row>
    <row r="17" spans="1:8" x14ac:dyDescent="0.25">
      <c r="A17" s="4" t="s">
        <v>183</v>
      </c>
      <c r="B17" s="4" t="s">
        <v>36</v>
      </c>
      <c r="C17" s="11">
        <v>31200000</v>
      </c>
      <c r="D17" s="12">
        <v>0.7412</v>
      </c>
      <c r="E17" s="6">
        <v>178900</v>
      </c>
      <c r="F17" s="6">
        <v>-67800</v>
      </c>
      <c r="G17" s="6">
        <v>123400</v>
      </c>
      <c r="H17" s="6">
        <f>E17+F17+G17</f>
      </c>
    </row>
    <row r="18" spans="1:8" x14ac:dyDescent="0.25">
      <c r="A18" t="s">
        <v>183</v>
      </c>
      <c r="B18" t="s">
        <v>19</v>
      </c>
      <c r="C18" s="13">
        <v>22100000</v>
      </c>
      <c r="D18" s="14">
        <v>0.7389</v>
      </c>
      <c r="E18" s="7">
        <v>-89200</v>
      </c>
      <c r="F18" s="7">
        <v>156700</v>
      </c>
      <c r="G18" s="7">
        <v>-78900</v>
      </c>
      <c r="H18" s="7">
        <f>E18+F18+G18</f>
      </c>
    </row>
    <row r="19" spans="1:8" s="8" customFormat="1" x14ac:dyDescent="0.25">
      <c r="A19" s="15" t="s">
        <v>184</v>
      </c>
      <c r="B19" s="15" t="s">
        <v>122</v>
      </c>
      <c r="C19" s="15" t="s">
        <v>122</v>
      </c>
      <c r="D19" s="15" t="s">
        <v>122</v>
      </c>
      <c r="E19" s="16">
        <f>SUM(E5:E18)</f>
      </c>
      <c r="F19" s="16">
        <f>SUM(F5:F18)</f>
      </c>
      <c r="G19" s="16">
        <f>SUM(G5:G18)</f>
      </c>
      <c r="H19" s="16">
        <f>SUM(H5:H18)</f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C19"/>
  <sheetFormatPr defaultRowHeight="15" outlineLevelRow="0" outlineLevelCol="0" x14ac:dyDescent="55"/>
  <cols>
    <col min="1" max="1" width="34" customWidth="1"/>
    <col min="2" max="2" width="20" customWidth="1"/>
    <col min="3" max="3" width="16" customWidth="1"/>
  </cols>
  <sheetData>
    <row r="1" spans="1:3" x14ac:dyDescent="0.25">
      <c r="A1" s="1" t="s">
        <v>185</v>
      </c>
      <c r="B1" s="1"/>
      <c r="C1" s="1"/>
    </row>
    <row r="3" ht="18" customHeight="1" spans="1:3" x14ac:dyDescent="0.25">
      <c r="A3" s="3" t="s">
        <v>186</v>
      </c>
      <c r="B3" s="3" t="s">
        <v>187</v>
      </c>
      <c r="C3" s="3" t="s">
        <v>188</v>
      </c>
    </row>
    <row r="4" spans="1:3" x14ac:dyDescent="0.25">
      <c r="A4" s="4" t="s">
        <v>189</v>
      </c>
      <c r="B4" s="4" t="s">
        <v>190</v>
      </c>
      <c r="C4" s="5">
        <v>46082</v>
      </c>
    </row>
    <row r="5" spans="1:3" x14ac:dyDescent="0.25">
      <c r="A5" t="s">
        <v>191</v>
      </c>
      <c r="B5" t="s">
        <v>192</v>
      </c>
      <c r="C5" s="2">
        <v>46082</v>
      </c>
    </row>
    <row r="6" spans="1:3" x14ac:dyDescent="0.25">
      <c r="A6" s="4" t="s">
        <v>193</v>
      </c>
      <c r="B6" s="4" t="s">
        <v>194</v>
      </c>
      <c r="C6" s="5">
        <v>46082</v>
      </c>
    </row>
    <row r="7" spans="1:3" x14ac:dyDescent="0.25">
      <c r="A7" t="s">
        <v>195</v>
      </c>
      <c r="B7" t="s">
        <v>196</v>
      </c>
      <c r="C7" s="2">
        <v>46082</v>
      </c>
    </row>
    <row r="8" spans="1:3" x14ac:dyDescent="0.25">
      <c r="A8" s="4" t="s">
        <v>197</v>
      </c>
      <c r="B8" s="4" t="s">
        <v>198</v>
      </c>
      <c r="C8" s="5">
        <v>46023</v>
      </c>
    </row>
    <row r="9" spans="1:3" x14ac:dyDescent="0.25">
      <c r="A9" t="s">
        <v>199</v>
      </c>
      <c r="B9" t="s">
        <v>200</v>
      </c>
      <c r="C9" s="2">
        <v>46023</v>
      </c>
    </row>
    <row r="10" spans="1:3" x14ac:dyDescent="0.25">
      <c r="A10" s="4" t="s">
        <v>201</v>
      </c>
      <c r="B10" s="4" t="s">
        <v>202</v>
      </c>
      <c r="C10" s="5">
        <v>46068</v>
      </c>
    </row>
    <row r="11" spans="1:3" x14ac:dyDescent="0.25">
      <c r="A11" t="s">
        <v>203</v>
      </c>
      <c r="B11" t="s">
        <v>204</v>
      </c>
      <c r="C11" s="2">
        <v>46023</v>
      </c>
    </row>
    <row r="12" spans="1:3" x14ac:dyDescent="0.25">
      <c r="A12" s="4" t="s">
        <v>205</v>
      </c>
      <c r="B12" s="4" t="s">
        <v>206</v>
      </c>
      <c r="C12" s="5">
        <v>46023</v>
      </c>
    </row>
    <row r="13" spans="1:3" x14ac:dyDescent="0.25">
      <c r="A13" t="s">
        <v>207</v>
      </c>
      <c r="B13" t="s">
        <v>208</v>
      </c>
      <c r="C13" s="2">
        <v>46023</v>
      </c>
    </row>
    <row r="14" spans="1:3" x14ac:dyDescent="0.25">
      <c r="A14" s="4" t="s">
        <v>209</v>
      </c>
      <c r="B14" s="4" t="s">
        <v>22</v>
      </c>
      <c r="C14" s="5">
        <v>46023</v>
      </c>
    </row>
    <row r="15" spans="1:3" x14ac:dyDescent="0.25">
      <c r="A15" t="s">
        <v>210</v>
      </c>
      <c r="B15" t="s">
        <v>211</v>
      </c>
      <c r="C15" s="2">
        <v>46023</v>
      </c>
    </row>
    <row r="16" spans="1:3" x14ac:dyDescent="0.25">
      <c r="A16" s="4" t="s">
        <v>212</v>
      </c>
      <c r="B16" s="4" t="s">
        <v>213</v>
      </c>
      <c r="C16" s="5">
        <v>46023</v>
      </c>
    </row>
    <row r="17" spans="1:3" x14ac:dyDescent="0.25">
      <c r="A17" t="s">
        <v>214</v>
      </c>
      <c r="B17" t="s">
        <v>215</v>
      </c>
      <c r="C17" s="2">
        <v>46023</v>
      </c>
    </row>
    <row r="18" spans="1:3" x14ac:dyDescent="0.25">
      <c r="A18" s="4" t="s">
        <v>216</v>
      </c>
      <c r="B18" s="5">
        <v>46109</v>
      </c>
      <c r="C18" s="5">
        <v>46109</v>
      </c>
    </row>
    <row r="19" spans="1:3" x14ac:dyDescent="0.25">
      <c r="A19" t="s">
        <v>217</v>
      </c>
      <c r="B19" s="2">
        <v>46113</v>
      </c>
      <c r="C19" s="2">
        <v>46112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FX Trade Register</vt:lpstr>
      <vt:lpstr>Counterparty Master</vt:lpstr>
      <vt:lpstr>MTM Summary</vt:lpstr>
      <vt:lpstr>Risk Parameters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Team</dc:creator>
  <dc:title/>
  <dc:subject/>
  <dc:description/>
  <cp:keywords/>
  <cp:category/>
  <cp:lastModifiedBy>Unknown</cp:lastModifiedBy>
  <dcterms:created xsi:type="dcterms:W3CDTF">2026-01-15T00:00:00Z</dcterms:created>
  <dcterms:modified xsi:type="dcterms:W3CDTF">2026-09-12T13:00:59Z</dcterms:modified>
</cp:coreProperties>
</file>