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Exposure Register" state="visible" r:id="rId4"/>
    <sheet sheetId="2" name="Rating Migration Matrix" state="visible" r:id="rId5"/>
    <sheet sheetId="3" name="Sector Concentration" state="visible" r:id="rId6"/>
    <sheet sheetId="4" name="Counterparty Master" state="visible" r:id="rId7"/>
    <sheet sheetId="5" name="Risk Model Parameters" state="visible" r:id="rId8"/>
  </sheets>
  <definedNames>
    <definedName name="CreditExposureData">'Credit Exposure Register'!$A$7:$O$107</definedName>
    <definedName name="MigrationMatrix">'Rating Migration Matrix'!$A$6:$J$14</definedName>
    <definedName name="SectorConcentration">'Sector Concentration'!$A$5:$G$16</definedName>
    <definedName name="CounterpartyMaster">'Counterparty Master'!$A$4:$J$24</definedName>
    <definedName name="RiskModelParams">'Risk Model Parameters'!$A$4:$F$22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7" authorId="0">
      <text>
        <r>
          <rPr>
            <sz val="9"/>
          </rPr>
          <t>MTM: Mark-to-Market USD. N/A for funded instruments (Loans, Bonds, Trade Finance). Positive = asset for the bank.</t>
        </r>
      </text>
    </comment>
    <comment ref="J7" authorId="0">
      <text>
        <r>
          <rPr>
            <sz val="9"/>
          </rPr>
          <t>PD 1Y: Probability of Default over 1-year horizon. From internal rating model mapped to Moody's scale. Floor of 0.03% applies to IG names.</t>
        </r>
      </text>
    </comment>
    <comment ref="K7" authorId="0">
      <text>
        <r>
          <rPr>
            <sz val="9"/>
          </rPr>
          <t>LGD: Loss Given Default (%) estimated at facility level. Reflects seniority, collateral, and jurisdiction recovery norms.</t>
        </r>
      </text>
    </comment>
    <comment ref="L7" authorId="0">
      <text>
        <r>
          <rPr>
            <sz val="9"/>
          </rPr>
          <t>EAD: Exposure at Default. Funded = Notional. Derivatives = Notional × regulatory add-on factor per CRR III Art. 274.</t>
        </r>
      </text>
    </comment>
    <comment ref="O7" authorId="0">
      <text>
        <r>
          <rPr>
            <sz val="9"/>
          </rPr>
          <t>Utilisation &gt;80% triggers enhanced monitoring review. &gt;100% is a hard limit breach requiring immediate CRO escalation.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4" authorId="0">
      <text>
        <r>
          <rPr>
            <sz val="9"/>
          </rPr>
          <t>Default (D) is an absorbing state: a defaulted issuer cannot be upgraded in the 1-year horizon. Recovery modelled separately via LGD parameters.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3" authorId="0">
      <text>
        <r>
          <rPr>
            <sz val="9"/>
          </rPr>
          <t>CP010 under enhanced monitoring: Q2 2026 covenant breach on debt/EBITDA ratio. Limit freeze pending Credit Committee review (ref: CCM-2026-089).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sz val="9"/>
          </rPr>
          <t>Applied to all BBB- and above names. Based on CRR III Article 160(1). Lower PD floor of 0.03% vs Basel 0.05% per EBA national discretion.</t>
        </r>
      </text>
    </comment>
    <comment ref="B12" authorId="0">
      <text>
        <r>
          <rPr>
            <sz val="9"/>
          </rPr>
          <t>Updated July 2026 from Moody's Annual Default Study. Previous version: Moody's 2022. Change approved under fast-track procedure due to minor revisions only.</t>
        </r>
      </text>
    </comment>
  </commentList>
</comments>
</file>

<file path=xl/sharedStrings.xml><?xml version="1.0" encoding="utf-8"?>
<sst xmlns="http://schemas.openxmlformats.org/spreadsheetml/2006/main" count="932" uniqueCount="236">
  <si>
    <t>CREDIT EXPOSURE REGISTER — Q3 2026</t>
  </si>
  <si>
    <t>As of Date:</t>
  </si>
  <si>
    <t>Prepared By:</t>
  </si>
  <si>
    <t>Credit Risk Analytics</t>
  </si>
  <si>
    <t>Reporting CCY:</t>
  </si>
  <si>
    <t>USD</t>
  </si>
  <si>
    <t>Approved By:</t>
  </si>
  <si>
    <t>Head of Credit Risk</t>
  </si>
  <si>
    <t>Status:</t>
  </si>
  <si>
    <t>FINAL</t>
  </si>
  <si>
    <t>Counterparties:</t>
  </si>
  <si>
    <t>Counterparty Information</t>
  </si>
  <si>
    <t>Trade Details</t>
  </si>
  <si>
    <t>Valuation</t>
  </si>
  <si>
    <t>Credit Risk Metrics</t>
  </si>
  <si>
    <t>Limits &amp; Utilisation</t>
  </si>
  <si>
    <t>CP ID</t>
  </si>
  <si>
    <t>Legal Name</t>
  </si>
  <si>
    <t>Sector</t>
  </si>
  <si>
    <t>Country</t>
  </si>
  <si>
    <t>Trade Date</t>
  </si>
  <si>
    <t>Maturity Date</t>
  </si>
  <si>
    <t>Instrument</t>
  </si>
  <si>
    <t>Notional USD</t>
  </si>
  <si>
    <t>MTM USD</t>
  </si>
  <si>
    <t>PD 1Y</t>
  </si>
  <si>
    <t>LGD</t>
  </si>
  <si>
    <t>EAD USD</t>
  </si>
  <si>
    <t>Credit Limit USD</t>
  </si>
  <si>
    <t>Current Exposure USD</t>
  </si>
  <si>
    <t>Utilisation %</t>
  </si>
  <si>
    <t>CP001</t>
  </si>
  <si>
    <t>Deutsche Bank AG</t>
  </si>
  <si>
    <t>Banking</t>
  </si>
  <si>
    <t>Germany</t>
  </si>
  <si>
    <t>Credit Default Swap</t>
  </si>
  <si>
    <t>Senior Unsecured Bond</t>
  </si>
  <si>
    <t>N/A</t>
  </si>
  <si>
    <t>Interest Rate Swap</t>
  </si>
  <si>
    <t>CP002</t>
  </si>
  <si>
    <t>BNP Paribas SA</t>
  </si>
  <si>
    <t>France</t>
  </si>
  <si>
    <t>Senior Secured Loan</t>
  </si>
  <si>
    <t>Trade Finance LC</t>
  </si>
  <si>
    <t>Revolving Credit Fac.</t>
  </si>
  <si>
    <t>CP003</t>
  </si>
  <si>
    <t>HSBC Holdings plc</t>
  </si>
  <si>
    <t>UK</t>
  </si>
  <si>
    <t>CP004</t>
  </si>
  <si>
    <t>Citibank N.A.</t>
  </si>
  <si>
    <t>US</t>
  </si>
  <si>
    <t>CP005</t>
  </si>
  <si>
    <t>Goldman Sachs International</t>
  </si>
  <si>
    <t>Inv. Banking</t>
  </si>
  <si>
    <t>CP006</t>
  </si>
  <si>
    <t>Mitsubishi UFJ Financial</t>
  </si>
  <si>
    <t>Japan</t>
  </si>
  <si>
    <t>CP007</t>
  </si>
  <si>
    <t>Apple Inc</t>
  </si>
  <si>
    <t>Technology</t>
  </si>
  <si>
    <t>CP008</t>
  </si>
  <si>
    <t>Shell plc</t>
  </si>
  <si>
    <t>Energy</t>
  </si>
  <si>
    <t>CP009</t>
  </si>
  <si>
    <t>AstraZeneca plc</t>
  </si>
  <si>
    <t>Healthcare</t>
  </si>
  <si>
    <t>CP010</t>
  </si>
  <si>
    <t>Volkswagen AG</t>
  </si>
  <si>
    <t>Automotive</t>
  </si>
  <si>
    <t>CP011</t>
  </si>
  <si>
    <t>Allianz SE</t>
  </si>
  <si>
    <t>Insurance</t>
  </si>
  <si>
    <t>CP012</t>
  </si>
  <si>
    <t>Berkshire Hathaway Finance</t>
  </si>
  <si>
    <t>CP013</t>
  </si>
  <si>
    <t>Enel SpA</t>
  </si>
  <si>
    <t>Utilities</t>
  </si>
  <si>
    <t>Italy</t>
  </si>
  <si>
    <t>CP014</t>
  </si>
  <si>
    <t>Tesco PLC</t>
  </si>
  <si>
    <t>Retail</t>
  </si>
  <si>
    <t>CP015</t>
  </si>
  <si>
    <t>TotalEnergies SE</t>
  </si>
  <si>
    <t>CP016</t>
  </si>
  <si>
    <t>Roche Holding AG</t>
  </si>
  <si>
    <t>Switzerland</t>
  </si>
  <si>
    <t>CP017</t>
  </si>
  <si>
    <t>Vodafone Group PLC</t>
  </si>
  <si>
    <t>Telecom</t>
  </si>
  <si>
    <t>CP018</t>
  </si>
  <si>
    <t>Rio Tinto PLC</t>
  </si>
  <si>
    <t>Mining</t>
  </si>
  <si>
    <t>CP019</t>
  </si>
  <si>
    <t>Stellantis N.V.</t>
  </si>
  <si>
    <t>Netherlands</t>
  </si>
  <si>
    <t>CP020</t>
  </si>
  <si>
    <t>Westpac Banking Corp</t>
  </si>
  <si>
    <t>Australia</t>
  </si>
  <si>
    <t>TOTAL</t>
  </si>
  <si>
    <t/>
  </si>
  <si>
    <t>1-YEAR RATING MIGRATION MATRIX — MOODY'S SCALE (2023 ANNUAL STUDY)</t>
  </si>
  <si>
    <t>Source:</t>
  </si>
  <si>
    <t>Moody's Annual Default &amp; Rating Transition Study 2023</t>
  </si>
  <si>
    <t>Usage:</t>
  </si>
  <si>
    <t>Internal credit migration scenario modelling — restricted, not for external distribution</t>
  </si>
  <si>
    <t>Row = Starting Rating | Column = Ending Rating | Values = 1-year transition probability</t>
  </si>
  <si>
    <t>From \ To</t>
  </si>
  <si>
    <t>AAA</t>
  </si>
  <si>
    <t>AA</t>
  </si>
  <si>
    <t>A</t>
  </si>
  <si>
    <t>BBB</t>
  </si>
  <si>
    <t>BB</t>
  </si>
  <si>
    <t>B</t>
  </si>
  <si>
    <t>CCC</t>
  </si>
  <si>
    <t>D (Default)</t>
  </si>
  <si>
    <t>Row Sum</t>
  </si>
  <si>
    <t>Note: Row sums should equal 100.00%. Diagonal entries (shaded) represent probability of rating stability.</t>
  </si>
  <si>
    <t>CREDIT EXPOSURE BY SECTOR — Q3 2026 SUMMARY</t>
  </si>
  <si>
    <t>Source: Credit Exposure Register (live SUMIF/COUNTIF — auto-recalculates on workbook open)</t>
  </si>
  <si>
    <t>Volume Metrics</t>
  </si>
  <si>
    <t>Risk Indicators</t>
  </si>
  <si>
    <t>Trade Count</t>
  </si>
  <si>
    <t>Total Notional USD</t>
  </si>
  <si>
    <t>Total EAD USD</t>
  </si>
  <si>
    <t>Avg PD 1Y</t>
  </si>
  <si>
    <t>Avg LGD</t>
  </si>
  <si>
    <t>Exposure Share %</t>
  </si>
  <si>
    <t>* Avg PD and Avg LGD use AVERAGEIF — sectors with zero trades show #DIV/0 (expected, not an error)</t>
  </si>
  <si>
    <t>COUNTERPARTY MASTER — APPROVED CREDIT COUNTERPARTIES</t>
  </si>
  <si>
    <t>Last Review Date:</t>
  </si>
  <si>
    <t>Credit Committee</t>
  </si>
  <si>
    <t>Next Review:</t>
  </si>
  <si>
    <t>Short Name</t>
  </si>
  <si>
    <t>Internal Rating</t>
  </si>
  <si>
    <t>External Rating</t>
  </si>
  <si>
    <t>Onboarding Date</t>
  </si>
  <si>
    <t>Status</t>
  </si>
  <si>
    <t>Deutsche</t>
  </si>
  <si>
    <t>AA-</t>
  </si>
  <si>
    <t>ACTIVE</t>
  </si>
  <si>
    <t>BNP</t>
  </si>
  <si>
    <t>A+</t>
  </si>
  <si>
    <t>HSBC</t>
  </si>
  <si>
    <t>Citibank</t>
  </si>
  <si>
    <t>Goldman</t>
  </si>
  <si>
    <t>Mitsubishi</t>
  </si>
  <si>
    <t>A-</t>
  </si>
  <si>
    <t>Apple</t>
  </si>
  <si>
    <t>Shell</t>
  </si>
  <si>
    <t>AstraZeneca</t>
  </si>
  <si>
    <t>Volkswagen</t>
  </si>
  <si>
    <t>BBB+</t>
  </si>
  <si>
    <t>REVIEW</t>
  </si>
  <si>
    <t>Allianz</t>
  </si>
  <si>
    <t>Berkshire</t>
  </si>
  <si>
    <t>AA+</t>
  </si>
  <si>
    <t>Enel</t>
  </si>
  <si>
    <t>Tesco</t>
  </si>
  <si>
    <t>TotalEnergies</t>
  </si>
  <si>
    <t>Roche</t>
  </si>
  <si>
    <t>Vodafone</t>
  </si>
  <si>
    <t>BBB-</t>
  </si>
  <si>
    <t>Rio</t>
  </si>
  <si>
    <t>Stellantis</t>
  </si>
  <si>
    <t>Westpac</t>
  </si>
  <si>
    <t>CREDIT RISK MODEL PARAMETERS &amp; GOVERNANCE RECORD</t>
  </si>
  <si>
    <t>All parameter changes require Credit Risk Committee approval and must be logged in the model change register.</t>
  </si>
  <si>
    <t>Parameter</t>
  </si>
  <si>
    <t>Value</t>
  </si>
  <si>
    <t>Unit</t>
  </si>
  <si>
    <t>Last Updated</t>
  </si>
  <si>
    <t>Approved By</t>
  </si>
  <si>
    <t>Notes</t>
  </si>
  <si>
    <t>VaR Confidence Level</t>
  </si>
  <si>
    <t>99%</t>
  </si>
  <si>
    <t>Percent</t>
  </si>
  <si>
    <t>CRC-2026-01</t>
  </si>
  <si>
    <t>Basel III minimum 99% for internal models approach (IMA)</t>
  </si>
  <si>
    <t>VaR Holding Period</t>
  </si>
  <si>
    <t>10</t>
  </si>
  <si>
    <t>Business Days</t>
  </si>
  <si>
    <t>Regulatory capital square root of time scaling from 1-day VaR</t>
  </si>
  <si>
    <t>Credit VaR Horizon</t>
  </si>
  <si>
    <t>1</t>
  </si>
  <si>
    <t>Year</t>
  </si>
  <si>
    <t>Annual horizon used for ICAAP credit VaR and stress testing</t>
  </si>
  <si>
    <t>PD Floor — Investment Grade</t>
  </si>
  <si>
    <t>0.0300%</t>
  </si>
  <si>
    <t>CRC-2026-07</t>
  </si>
  <si>
    <t>Minimum PD for BBB- and above per CRR III Art. 160</t>
  </si>
  <si>
    <t>PD Floor — Sub-Investment Grade</t>
  </si>
  <si>
    <t>0.1000%</t>
  </si>
  <si>
    <t>Minimum PD for BB+ and below per CRR III Art. 160</t>
  </si>
  <si>
    <t>LGD Floor — Senior Secured</t>
  </si>
  <si>
    <t>20%</t>
  </si>
  <si>
    <t>F-IRB LGD floor for collateralised exposures</t>
  </si>
  <si>
    <t>LGD Floor — Senior Unsecured</t>
  </si>
  <si>
    <t>45%</t>
  </si>
  <si>
    <t>F-IRB LGD for unsecured senior corporate per Basel</t>
  </si>
  <si>
    <t>Asset Correlation — Corporate</t>
  </si>
  <si>
    <t>12%–24%</t>
  </si>
  <si>
    <t>Range</t>
  </si>
  <si>
    <t>Basel III supervisory formula; higher for low-PD obligors</t>
  </si>
  <si>
    <t>Concentration Threshold</t>
  </si>
  <si>
    <t>5%</t>
  </si>
  <si>
    <t>CRC-2026-12</t>
  </si>
  <si>
    <t>Sector concentration &gt;5% of total EAD triggers capital add-on</t>
  </si>
  <si>
    <t>High Utilisation Threshold</t>
  </si>
  <si>
    <t>80%</t>
  </si>
  <si>
    <t>Exposures &gt;80% of limit trigger enhanced monitoring review</t>
  </si>
  <si>
    <t>Hard Limit Breach Threshold</t>
  </si>
  <si>
    <t>100%</t>
  </si>
  <si>
    <t>&gt;100% requires immediate escalation to CRO and CFO</t>
  </si>
  <si>
    <t>Migration Model Source</t>
  </si>
  <si>
    <t>Moody's 2023</t>
  </si>
  <si>
    <t>CRC-2026-15</t>
  </si>
  <si>
    <t>Annual transition matrix — updated each July with Moody's new study</t>
  </si>
  <si>
    <t>CVA Discount Rate</t>
  </si>
  <si>
    <t>5.25%</t>
  </si>
  <si>
    <t>CRC-2026-18</t>
  </si>
  <si>
    <t>Risk-free rate for CVA discounting (Fed Funds Effective Rate)</t>
  </si>
  <si>
    <t>Wrong-Way Risk Add-On</t>
  </si>
  <si>
    <t>10%</t>
  </si>
  <si>
    <t>Specific WWR surcharge per IMA guidelines EBA/GL/2020/05</t>
  </si>
  <si>
    <t>Stress PD Multiplier</t>
  </si>
  <si>
    <t>1.5×</t>
  </si>
  <si>
    <t>Multiplier</t>
  </si>
  <si>
    <t>Stress scenario: PD = Base PD × 1.5 (EBA 2026 adverse scenario)</t>
  </si>
  <si>
    <t>Recovery Rate — Banks (Unsecured)</t>
  </si>
  <si>
    <t>Senior unsecured recovery for bank counterparties (Moody's median)</t>
  </si>
  <si>
    <t>Recovery Rate — Corporate (Secured)</t>
  </si>
  <si>
    <t>65%</t>
  </si>
  <si>
    <t>Senior secured recovery for corporate counterparties</t>
  </si>
  <si>
    <t>Model Next Validation Date</t>
  </si>
  <si>
    <t>Date</t>
  </si>
  <si>
    <t>Annual model validation cycle — mandatory per SR 11-7 / SS1/23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</si>
</sst>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-MMM-YYYY"/>
    <numFmt numFmtId="165" formatCode="$#,##0"/>
    <numFmt numFmtId="166" formatCode="$#,##0.00"/>
    <numFmt numFmtId="167" formatCode="0.0000%"/>
  </numFmts>
  <fonts count="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0"/>
    </font>
    <font>
      <b/>
    </font>
    <font>
      <i/>
      <color rgb="FF666666"/>
      <sz val="9"/>
    </font>
    <font>
      <b/>
      <color rgb="FFFFFFFF"/>
    </font>
    <font>
      <i/>
      <color rgb="FF444444"/>
    </font>
    <font>
      <i/>
      <color rgb="FF888888"/>
      <sz val="9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8FB"/>
      </patternFill>
    </fill>
    <fill>
      <patternFill patternType="solid">
        <fgColor rgb="FFFFD7D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167" fontId="0" fillId="5" borderId="0" xfId="0" applyNumberFormat="1" applyFill="1"/>
    <xf numFmtId="10" fontId="0" fillId="5" borderId="0" xfId="0" applyNumberFormat="1" applyFill="1"/>
    <xf numFmtId="165" fontId="0" fillId="0" borderId="0" xfId="0" applyNumberFormat="1"/>
    <xf numFmtId="167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167" fontId="0" fillId="6" borderId="0" xfId="0" applyNumberFormat="1" applyFill="1"/>
    <xf numFmtId="10" fontId="0" fillId="6" borderId="0" xfId="0" applyNumberFormat="1" applyFill="1"/>
    <xf numFmtId="0" fontId="3" fillId="0" borderId="0" xfId="0" applyFont="1"/>
    <xf numFmtId="0" fontId="3" fillId="7" borderId="0" xfId="0" applyFont="1" applyFill="1"/>
    <xf numFmtId="165" fontId="3" fillId="7" borderId="0" xfId="0" applyNumberFormat="1" applyFont="1" applyFill="1"/>
    <xf numFmtId="0" fontId="4" fillId="0" borderId="0" xfId="0" applyFont="1"/>
    <xf numFmtId="0" fontId="5" fillId="4" borderId="0" xfId="0" applyFont="1" applyFill="1"/>
    <xf numFmtId="10" fontId="3" fillId="2" borderId="0" xfId="0" applyNumberFormat="1" applyFont="1" applyFill="1"/>
    <xf numFmtId="10" fontId="6" fillId="0" borderId="0" xfId="0" applyNumberFormat="1" applyFont="1"/>
    <xf numFmtId="0" fontId="7" fillId="0" borderId="0" xfId="0" applyFont="1"/>
    <xf numFmtId="10" fontId="3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O10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6" customWidth="1"/>
    <col min="4" max="6" width="14" customWidth="1"/>
    <col min="7" max="7" width="22" customWidth="1"/>
    <col min="8" max="9" width="16" customWidth="1"/>
    <col min="10" max="10" width="10" customWidth="1"/>
    <col min="11" max="11" width="8" customWidth="1"/>
    <col min="12" max="12" width="16" customWidth="1"/>
    <col min="13" max="13" width="18" customWidth="1"/>
    <col min="14" max="14" width="20" customWidth="1"/>
    <col min="15" max="15" width="13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9" x14ac:dyDescent="0.25">
      <c r="A2" t="s">
        <v>1</v>
      </c>
      <c r="B2" s="2">
        <v>46295</v>
      </c>
      <c r="D2" t="s">
        <v>2</v>
      </c>
      <c r="E2" t="s">
        <v>3</v>
      </c>
      <c r="H2" t="s">
        <v>4</v>
      </c>
      <c r="I2" t="s">
        <v>5</v>
      </c>
    </row>
    <row r="3" spans="1:9" x14ac:dyDescent="0.25">
      <c r="A3" t="s">
        <v>6</v>
      </c>
      <c r="B3" t="s">
        <v>7</v>
      </c>
      <c r="D3" t="s">
        <v>8</v>
      </c>
      <c r="E3" t="s">
        <v>9</v>
      </c>
      <c r="H3" t="s">
        <v>10</v>
      </c>
      <c r="I3">
        <v>20</v>
      </c>
    </row>
    <row r="6" ht="18" customHeight="1" spans="1:15" x14ac:dyDescent="0.25">
      <c r="A6" s="3" t="s">
        <v>11</v>
      </c>
      <c r="B6" s="3"/>
      <c r="C6" s="3"/>
      <c r="D6" s="3"/>
      <c r="E6" s="3" t="s">
        <v>12</v>
      </c>
      <c r="F6" s="3"/>
      <c r="G6" s="3"/>
      <c r="H6" s="3" t="s">
        <v>13</v>
      </c>
      <c r="I6" s="3"/>
      <c r="J6" s="3" t="s">
        <v>14</v>
      </c>
      <c r="K6" s="3"/>
      <c r="L6" s="3"/>
      <c r="M6" s="3" t="s">
        <v>15</v>
      </c>
      <c r="N6" s="3"/>
      <c r="O6" s="3"/>
    </row>
    <row r="7" ht="20" customHeight="1" spans="1:15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29</v>
      </c>
      <c r="O7" s="4" t="s">
        <v>30</v>
      </c>
    </row>
    <row r="8" spans="1:15" x14ac:dyDescent="0.25">
      <c r="A8" s="5" t="s">
        <v>31</v>
      </c>
      <c r="B8" s="5" t="s">
        <v>32</v>
      </c>
      <c r="C8" s="5" t="s">
        <v>33</v>
      </c>
      <c r="D8" s="5" t="s">
        <v>34</v>
      </c>
      <c r="E8" s="6">
        <v>45736.77083333333</v>
      </c>
      <c r="F8" s="6">
        <v>46264.77083333333</v>
      </c>
      <c r="G8" s="5" t="s">
        <v>35</v>
      </c>
      <c r="H8" s="7">
        <v>68000000</v>
      </c>
      <c r="I8" s="8">
        <v>-1767028</v>
      </c>
      <c r="J8" s="9">
        <v>0.00083</v>
      </c>
      <c r="K8" s="10">
        <v>0.4656</v>
      </c>
      <c r="L8" s="7">
        <v>3400000</v>
      </c>
      <c r="M8" s="7">
        <v>2000000000</v>
      </c>
      <c r="N8" s="7">
        <v>3400000</v>
      </c>
      <c r="O8" s="10">
        <v>0.0017</v>
      </c>
    </row>
    <row r="9" spans="1:15" x14ac:dyDescent="0.25">
      <c r="A9" t="s">
        <v>31</v>
      </c>
      <c r="B9" t="s">
        <v>32</v>
      </c>
      <c r="C9" t="s">
        <v>33</v>
      </c>
      <c r="D9" t="s">
        <v>34</v>
      </c>
      <c r="E9" s="2">
        <v>45901.77083333333</v>
      </c>
      <c r="F9" s="2">
        <v>46807.77083333333</v>
      </c>
      <c r="G9" t="s">
        <v>36</v>
      </c>
      <c r="H9" s="11">
        <v>488000000</v>
      </c>
      <c r="I9" t="s">
        <v>37</v>
      </c>
      <c r="J9" s="12">
        <v>0.00083</v>
      </c>
      <c r="K9" s="13">
        <v>0.5146</v>
      </c>
      <c r="L9" s="11">
        <v>488000000</v>
      </c>
      <c r="M9" s="11">
        <v>2000000000</v>
      </c>
      <c r="N9" s="11">
        <v>488000000</v>
      </c>
      <c r="O9" s="13">
        <v>0.244</v>
      </c>
    </row>
    <row r="10" spans="1:15" x14ac:dyDescent="0.25">
      <c r="A10" s="5" t="s">
        <v>31</v>
      </c>
      <c r="B10" s="5" t="s">
        <v>32</v>
      </c>
      <c r="C10" s="5" t="s">
        <v>33</v>
      </c>
      <c r="D10" s="5" t="s">
        <v>34</v>
      </c>
      <c r="E10" s="6">
        <v>45810.77083333333</v>
      </c>
      <c r="F10" s="6">
        <v>46222.77083333333</v>
      </c>
      <c r="G10" s="5" t="s">
        <v>38</v>
      </c>
      <c r="H10" s="7">
        <v>292000000</v>
      </c>
      <c r="I10" s="8">
        <v>7921622</v>
      </c>
      <c r="J10" s="9">
        <v>0.00071</v>
      </c>
      <c r="K10" s="10">
        <v>0.4242</v>
      </c>
      <c r="L10" s="7">
        <v>8760000</v>
      </c>
      <c r="M10" s="7">
        <v>2000000000</v>
      </c>
      <c r="N10" s="7">
        <v>8760000</v>
      </c>
      <c r="O10" s="10">
        <v>0.00438</v>
      </c>
    </row>
    <row r="11" spans="1:15" x14ac:dyDescent="0.25">
      <c r="A11" t="s">
        <v>31</v>
      </c>
      <c r="B11" t="s">
        <v>32</v>
      </c>
      <c r="C11" t="s">
        <v>33</v>
      </c>
      <c r="D11" t="s">
        <v>34</v>
      </c>
      <c r="E11" s="2">
        <v>45924.77083333333</v>
      </c>
      <c r="F11" s="2">
        <v>46922.77083333333</v>
      </c>
      <c r="G11" t="s">
        <v>35</v>
      </c>
      <c r="H11" s="11">
        <v>8000000</v>
      </c>
      <c r="I11" s="14">
        <v>-133087</v>
      </c>
      <c r="J11" s="12">
        <v>0.00076</v>
      </c>
      <c r="K11" s="13">
        <v>0.4256</v>
      </c>
      <c r="L11" s="11">
        <v>400000</v>
      </c>
      <c r="M11" s="11">
        <v>2000000000</v>
      </c>
      <c r="N11" s="11">
        <v>400000</v>
      </c>
      <c r="O11" s="13">
        <v>0.0002</v>
      </c>
    </row>
    <row r="12" spans="1:15" x14ac:dyDescent="0.25">
      <c r="A12" s="5" t="s">
        <v>31</v>
      </c>
      <c r="B12" s="5" t="s">
        <v>32</v>
      </c>
      <c r="C12" s="5" t="s">
        <v>33</v>
      </c>
      <c r="D12" s="5" t="s">
        <v>34</v>
      </c>
      <c r="E12" s="6">
        <v>45760.77083333333</v>
      </c>
      <c r="F12" s="6">
        <v>46155.77083333333</v>
      </c>
      <c r="G12" s="5" t="s">
        <v>36</v>
      </c>
      <c r="H12" s="7">
        <v>386000000</v>
      </c>
      <c r="I12" s="5" t="s">
        <v>37</v>
      </c>
      <c r="J12" s="9">
        <v>0.00083</v>
      </c>
      <c r="K12" s="10">
        <v>0.507</v>
      </c>
      <c r="L12" s="7">
        <v>386000000</v>
      </c>
      <c r="M12" s="7">
        <v>2000000000</v>
      </c>
      <c r="N12" s="7">
        <v>386000000</v>
      </c>
      <c r="O12" s="10">
        <v>0.193</v>
      </c>
    </row>
    <row r="13" spans="1:15" x14ac:dyDescent="0.25">
      <c r="A13" t="s">
        <v>39</v>
      </c>
      <c r="B13" t="s">
        <v>40</v>
      </c>
      <c r="C13" t="s">
        <v>33</v>
      </c>
      <c r="D13" t="s">
        <v>41</v>
      </c>
      <c r="E13" s="2">
        <v>45987.77083333333</v>
      </c>
      <c r="F13" s="2">
        <v>46379.77083333333</v>
      </c>
      <c r="G13" t="s">
        <v>42</v>
      </c>
      <c r="H13" s="11">
        <v>420000000</v>
      </c>
      <c r="I13" t="s">
        <v>37</v>
      </c>
      <c r="J13" s="12">
        <v>0.00116</v>
      </c>
      <c r="K13" s="13">
        <v>0.3049</v>
      </c>
      <c r="L13" s="11">
        <v>420000000</v>
      </c>
      <c r="M13" s="11">
        <v>1500000000</v>
      </c>
      <c r="N13" s="11">
        <v>420000000</v>
      </c>
      <c r="O13" s="13">
        <v>0.28</v>
      </c>
    </row>
    <row r="14" spans="1:15" x14ac:dyDescent="0.25">
      <c r="A14" s="5" t="s">
        <v>39</v>
      </c>
      <c r="B14" s="5" t="s">
        <v>40</v>
      </c>
      <c r="C14" s="5" t="s">
        <v>33</v>
      </c>
      <c r="D14" s="5" t="s">
        <v>41</v>
      </c>
      <c r="E14" s="6">
        <v>45997.77083333333</v>
      </c>
      <c r="F14" s="6">
        <v>46531.77083333333</v>
      </c>
      <c r="G14" s="5" t="s">
        <v>43</v>
      </c>
      <c r="H14" s="7">
        <v>248000000</v>
      </c>
      <c r="I14" s="5" t="s">
        <v>37</v>
      </c>
      <c r="J14" s="9">
        <v>0.00113</v>
      </c>
      <c r="K14" s="10">
        <v>0.2536</v>
      </c>
      <c r="L14" s="7">
        <v>124000000</v>
      </c>
      <c r="M14" s="7">
        <v>1500000000</v>
      </c>
      <c r="N14" s="7">
        <v>124000000</v>
      </c>
      <c r="O14" s="10">
        <v>0.08266666666666667</v>
      </c>
    </row>
    <row r="15" spans="1:15" x14ac:dyDescent="0.25">
      <c r="A15" t="s">
        <v>39</v>
      </c>
      <c r="B15" t="s">
        <v>40</v>
      </c>
      <c r="C15" t="s">
        <v>33</v>
      </c>
      <c r="D15" t="s">
        <v>41</v>
      </c>
      <c r="E15" s="2">
        <v>45872.77083333333</v>
      </c>
      <c r="F15" s="2">
        <v>46734.77083333333</v>
      </c>
      <c r="G15" t="s">
        <v>44</v>
      </c>
      <c r="H15" s="11">
        <v>286000000</v>
      </c>
      <c r="I15" t="s">
        <v>37</v>
      </c>
      <c r="J15" s="12">
        <v>0.00131</v>
      </c>
      <c r="K15" s="13">
        <v>0.3684</v>
      </c>
      <c r="L15" s="11">
        <v>214500000</v>
      </c>
      <c r="M15" s="11">
        <v>1500000000</v>
      </c>
      <c r="N15" s="11">
        <v>214500000</v>
      </c>
      <c r="O15" s="13">
        <v>0.143</v>
      </c>
    </row>
    <row r="16" spans="1:15" x14ac:dyDescent="0.25">
      <c r="A16" s="5" t="s">
        <v>39</v>
      </c>
      <c r="B16" s="5" t="s">
        <v>40</v>
      </c>
      <c r="C16" s="5" t="s">
        <v>33</v>
      </c>
      <c r="D16" s="5" t="s">
        <v>41</v>
      </c>
      <c r="E16" s="6">
        <v>45900.77083333333</v>
      </c>
      <c r="F16" s="6">
        <v>46458.77083333333</v>
      </c>
      <c r="G16" s="5" t="s">
        <v>42</v>
      </c>
      <c r="H16" s="7">
        <v>257000000</v>
      </c>
      <c r="I16" s="5" t="s">
        <v>37</v>
      </c>
      <c r="J16" s="9">
        <v>0.00132</v>
      </c>
      <c r="K16" s="10">
        <v>0.3337</v>
      </c>
      <c r="L16" s="7">
        <v>257000000</v>
      </c>
      <c r="M16" s="7">
        <v>1500000000</v>
      </c>
      <c r="N16" s="7">
        <v>257000000</v>
      </c>
      <c r="O16" s="10">
        <v>0.17133333333333334</v>
      </c>
    </row>
    <row r="17" spans="1:15" x14ac:dyDescent="0.25">
      <c r="A17" t="s">
        <v>39</v>
      </c>
      <c r="B17" t="s">
        <v>40</v>
      </c>
      <c r="C17" t="s">
        <v>33</v>
      </c>
      <c r="D17" t="s">
        <v>41</v>
      </c>
      <c r="E17" s="2">
        <v>45826.77083333333</v>
      </c>
      <c r="F17" s="2">
        <v>46306.77083333333</v>
      </c>
      <c r="G17" t="s">
        <v>43</v>
      </c>
      <c r="H17" s="11">
        <v>259000000</v>
      </c>
      <c r="I17" t="s">
        <v>37</v>
      </c>
      <c r="J17" s="12">
        <v>0.00111</v>
      </c>
      <c r="K17" s="13">
        <v>0.3482</v>
      </c>
      <c r="L17" s="11">
        <v>129500000</v>
      </c>
      <c r="M17" s="11">
        <v>1500000000</v>
      </c>
      <c r="N17" s="11">
        <v>129500000</v>
      </c>
      <c r="O17" s="13">
        <v>0.08633333333333333</v>
      </c>
    </row>
    <row r="18" spans="1:15" x14ac:dyDescent="0.25">
      <c r="A18" s="5" t="s">
        <v>45</v>
      </c>
      <c r="B18" s="5" t="s">
        <v>46</v>
      </c>
      <c r="C18" s="5" t="s">
        <v>33</v>
      </c>
      <c r="D18" s="5" t="s">
        <v>47</v>
      </c>
      <c r="E18" s="6">
        <v>45677.77083333333</v>
      </c>
      <c r="F18" s="6">
        <v>46245.77083333333</v>
      </c>
      <c r="G18" s="5" t="s">
        <v>36</v>
      </c>
      <c r="H18" s="7">
        <v>426000000</v>
      </c>
      <c r="I18" s="5" t="s">
        <v>37</v>
      </c>
      <c r="J18" s="9">
        <v>0.00073</v>
      </c>
      <c r="K18" s="10">
        <v>0.5054</v>
      </c>
      <c r="L18" s="7">
        <v>426000000</v>
      </c>
      <c r="M18" s="7">
        <v>1800000000</v>
      </c>
      <c r="N18" s="7">
        <v>426000000</v>
      </c>
      <c r="O18" s="10">
        <v>0.23666666666666666</v>
      </c>
    </row>
    <row r="19" spans="1:15" x14ac:dyDescent="0.25">
      <c r="A19" t="s">
        <v>45</v>
      </c>
      <c r="B19" t="s">
        <v>46</v>
      </c>
      <c r="C19" t="s">
        <v>33</v>
      </c>
      <c r="D19" t="s">
        <v>47</v>
      </c>
      <c r="E19" s="2">
        <v>45781.77083333333</v>
      </c>
      <c r="F19" s="2">
        <v>46517.77083333333</v>
      </c>
      <c r="G19" t="s">
        <v>38</v>
      </c>
      <c r="H19" s="11">
        <v>8000000</v>
      </c>
      <c r="I19" s="14">
        <v>-215172</v>
      </c>
      <c r="J19" s="12">
        <v>0.00079</v>
      </c>
      <c r="K19" s="13">
        <v>0.481</v>
      </c>
      <c r="L19" s="11">
        <v>240000</v>
      </c>
      <c r="M19" s="11">
        <v>1800000000</v>
      </c>
      <c r="N19" s="11">
        <v>240000</v>
      </c>
      <c r="O19" s="13">
        <v>0.00013333333333333334</v>
      </c>
    </row>
    <row r="20" spans="1:15" x14ac:dyDescent="0.25">
      <c r="A20" s="5" t="s">
        <v>45</v>
      </c>
      <c r="B20" s="5" t="s">
        <v>46</v>
      </c>
      <c r="C20" s="5" t="s">
        <v>33</v>
      </c>
      <c r="D20" s="5" t="s">
        <v>47</v>
      </c>
      <c r="E20" s="6">
        <v>45853.77083333333</v>
      </c>
      <c r="F20" s="6">
        <v>46673.77083333333</v>
      </c>
      <c r="G20" s="5" t="s">
        <v>35</v>
      </c>
      <c r="H20" s="7">
        <v>362000000</v>
      </c>
      <c r="I20" s="8">
        <v>-9360195</v>
      </c>
      <c r="J20" s="9">
        <v>0.00076</v>
      </c>
      <c r="K20" s="10">
        <v>0.571</v>
      </c>
      <c r="L20" s="7">
        <v>18100000</v>
      </c>
      <c r="M20" s="7">
        <v>1800000000</v>
      </c>
      <c r="N20" s="7">
        <v>18100000</v>
      </c>
      <c r="O20" s="10">
        <v>0.010055555555555555</v>
      </c>
    </row>
    <row r="21" spans="1:15" x14ac:dyDescent="0.25">
      <c r="A21" t="s">
        <v>45</v>
      </c>
      <c r="B21" t="s">
        <v>46</v>
      </c>
      <c r="C21" t="s">
        <v>33</v>
      </c>
      <c r="D21" t="s">
        <v>47</v>
      </c>
      <c r="E21" s="2">
        <v>45816.77083333333</v>
      </c>
      <c r="F21" s="2">
        <v>46524.77083333333</v>
      </c>
      <c r="G21" t="s">
        <v>36</v>
      </c>
      <c r="H21" s="11">
        <v>468000000</v>
      </c>
      <c r="I21" t="s">
        <v>37</v>
      </c>
      <c r="J21" s="12">
        <v>0.0008</v>
      </c>
      <c r="K21" s="13">
        <v>0.5296</v>
      </c>
      <c r="L21" s="11">
        <v>468000000</v>
      </c>
      <c r="M21" s="11">
        <v>1800000000</v>
      </c>
      <c r="N21" s="11">
        <v>468000000</v>
      </c>
      <c r="O21" s="13">
        <v>0.26</v>
      </c>
    </row>
    <row r="22" spans="1:15" x14ac:dyDescent="0.25">
      <c r="A22" s="5" t="s">
        <v>45</v>
      </c>
      <c r="B22" s="5" t="s">
        <v>46</v>
      </c>
      <c r="C22" s="5" t="s">
        <v>33</v>
      </c>
      <c r="D22" s="5" t="s">
        <v>47</v>
      </c>
      <c r="E22" s="6">
        <v>45973.77083333333</v>
      </c>
      <c r="F22" s="6">
        <v>46589.77083333333</v>
      </c>
      <c r="G22" s="5" t="s">
        <v>38</v>
      </c>
      <c r="H22" s="7">
        <v>482000000</v>
      </c>
      <c r="I22" s="8">
        <v>-12291625</v>
      </c>
      <c r="J22" s="9">
        <v>0.00075</v>
      </c>
      <c r="K22" s="10">
        <v>0.4795</v>
      </c>
      <c r="L22" s="7">
        <v>14460000</v>
      </c>
      <c r="M22" s="7">
        <v>1800000000</v>
      </c>
      <c r="N22" s="7">
        <v>14460000</v>
      </c>
      <c r="O22" s="10">
        <v>0.008033333333333333</v>
      </c>
    </row>
    <row r="23" spans="1:15" x14ac:dyDescent="0.25">
      <c r="A23" t="s">
        <v>48</v>
      </c>
      <c r="B23" t="s">
        <v>49</v>
      </c>
      <c r="C23" t="s">
        <v>33</v>
      </c>
      <c r="D23" t="s">
        <v>50</v>
      </c>
      <c r="E23" s="2">
        <v>45670.77083333333</v>
      </c>
      <c r="F23" s="2">
        <v>46711.77083333333</v>
      </c>
      <c r="G23" t="s">
        <v>43</v>
      </c>
      <c r="H23" s="11">
        <v>385000000</v>
      </c>
      <c r="I23" t="s">
        <v>37</v>
      </c>
      <c r="J23" s="12">
        <v>0.00204</v>
      </c>
      <c r="K23" s="13">
        <v>0.359</v>
      </c>
      <c r="L23" s="11">
        <v>192500000</v>
      </c>
      <c r="M23" s="11">
        <v>1200000000</v>
      </c>
      <c r="N23" s="11">
        <v>192500000</v>
      </c>
      <c r="O23" s="13">
        <v>0.16041666666666668</v>
      </c>
    </row>
    <row r="24" spans="1:15" x14ac:dyDescent="0.25">
      <c r="A24" s="5" t="s">
        <v>48</v>
      </c>
      <c r="B24" s="5" t="s">
        <v>49</v>
      </c>
      <c r="C24" s="5" t="s">
        <v>33</v>
      </c>
      <c r="D24" s="5" t="s">
        <v>50</v>
      </c>
      <c r="E24" s="6">
        <v>45939.77083333333</v>
      </c>
      <c r="F24" s="6">
        <v>46911.77083333333</v>
      </c>
      <c r="G24" s="5" t="s">
        <v>44</v>
      </c>
      <c r="H24" s="7">
        <v>398000000</v>
      </c>
      <c r="I24" s="5" t="s">
        <v>37</v>
      </c>
      <c r="J24" s="9">
        <v>0.00215</v>
      </c>
      <c r="K24" s="10">
        <v>0.4286</v>
      </c>
      <c r="L24" s="7">
        <v>298500000</v>
      </c>
      <c r="M24" s="7">
        <v>1200000000</v>
      </c>
      <c r="N24" s="7">
        <v>298500000</v>
      </c>
      <c r="O24" s="10">
        <v>0.24875</v>
      </c>
    </row>
    <row r="25" spans="1:15" x14ac:dyDescent="0.25">
      <c r="A25" t="s">
        <v>48</v>
      </c>
      <c r="B25" t="s">
        <v>49</v>
      </c>
      <c r="C25" t="s">
        <v>33</v>
      </c>
      <c r="D25" t="s">
        <v>50</v>
      </c>
      <c r="E25" s="2">
        <v>45873.77083333333</v>
      </c>
      <c r="F25" s="2">
        <v>46269.77083333333</v>
      </c>
      <c r="G25" t="s">
        <v>42</v>
      </c>
      <c r="H25" s="11">
        <v>411000000</v>
      </c>
      <c r="I25" t="s">
        <v>37</v>
      </c>
      <c r="J25" s="12">
        <v>0.00171</v>
      </c>
      <c r="K25" s="13">
        <v>0.2768</v>
      </c>
      <c r="L25" s="11">
        <v>411000000</v>
      </c>
      <c r="M25" s="11">
        <v>1200000000</v>
      </c>
      <c r="N25" s="11">
        <v>411000000</v>
      </c>
      <c r="O25" s="13">
        <v>0.3425</v>
      </c>
    </row>
    <row r="26" spans="1:15" x14ac:dyDescent="0.25">
      <c r="A26" s="5" t="s">
        <v>48</v>
      </c>
      <c r="B26" s="5" t="s">
        <v>49</v>
      </c>
      <c r="C26" s="5" t="s">
        <v>33</v>
      </c>
      <c r="D26" s="5" t="s">
        <v>50</v>
      </c>
      <c r="E26" s="6">
        <v>45797.77083333333</v>
      </c>
      <c r="F26" s="6">
        <v>46483.77083333333</v>
      </c>
      <c r="G26" s="5" t="s">
        <v>43</v>
      </c>
      <c r="H26" s="7">
        <v>476000000</v>
      </c>
      <c r="I26" s="5" t="s">
        <v>37</v>
      </c>
      <c r="J26" s="9">
        <v>0.00189</v>
      </c>
      <c r="K26" s="10">
        <v>0.3888</v>
      </c>
      <c r="L26" s="7">
        <v>238000000</v>
      </c>
      <c r="M26" s="7">
        <v>1200000000</v>
      </c>
      <c r="N26" s="7">
        <v>238000000</v>
      </c>
      <c r="O26" s="10">
        <v>0.19833333333333333</v>
      </c>
    </row>
    <row r="27" spans="1:15" x14ac:dyDescent="0.25">
      <c r="A27" t="s">
        <v>48</v>
      </c>
      <c r="B27" t="s">
        <v>49</v>
      </c>
      <c r="C27" t="s">
        <v>33</v>
      </c>
      <c r="D27" t="s">
        <v>50</v>
      </c>
      <c r="E27" s="2">
        <v>45820.77083333333</v>
      </c>
      <c r="F27" s="2">
        <v>46767.77083333333</v>
      </c>
      <c r="G27" t="s">
        <v>44</v>
      </c>
      <c r="H27" s="11">
        <v>288000000</v>
      </c>
      <c r="I27" t="s">
        <v>37</v>
      </c>
      <c r="J27" s="12">
        <v>0.00175</v>
      </c>
      <c r="K27" s="13">
        <v>0.3218</v>
      </c>
      <c r="L27" s="11">
        <v>216000000</v>
      </c>
      <c r="M27" s="11">
        <v>1200000000</v>
      </c>
      <c r="N27" s="11">
        <v>216000000</v>
      </c>
      <c r="O27" s="13">
        <v>0.18</v>
      </c>
    </row>
    <row r="28" spans="1:15" x14ac:dyDescent="0.25">
      <c r="A28" s="5" t="s">
        <v>51</v>
      </c>
      <c r="B28" s="5" t="s">
        <v>52</v>
      </c>
      <c r="C28" s="5" t="s">
        <v>53</v>
      </c>
      <c r="D28" s="5" t="s">
        <v>50</v>
      </c>
      <c r="E28" s="6">
        <v>45707.77083333333</v>
      </c>
      <c r="F28" s="6">
        <v>46199.77083333333</v>
      </c>
      <c r="G28" s="5" t="s">
        <v>38</v>
      </c>
      <c r="H28" s="7">
        <v>167000000</v>
      </c>
      <c r="I28" s="8">
        <v>703830</v>
      </c>
      <c r="J28" s="9">
        <v>0.00135</v>
      </c>
      <c r="K28" s="10">
        <v>0.3662</v>
      </c>
      <c r="L28" s="7">
        <v>5010000</v>
      </c>
      <c r="M28" s="7">
        <v>1000000000</v>
      </c>
      <c r="N28" s="7">
        <v>5010000</v>
      </c>
      <c r="O28" s="10">
        <v>0.00501</v>
      </c>
    </row>
    <row r="29" spans="1:15" x14ac:dyDescent="0.25">
      <c r="A29" t="s">
        <v>51</v>
      </c>
      <c r="B29" t="s">
        <v>52</v>
      </c>
      <c r="C29" t="s">
        <v>53</v>
      </c>
      <c r="D29" t="s">
        <v>50</v>
      </c>
      <c r="E29" s="2">
        <v>45664.77083333333</v>
      </c>
      <c r="F29" s="2">
        <v>46580.77083333333</v>
      </c>
      <c r="G29" t="s">
        <v>35</v>
      </c>
      <c r="H29" s="11">
        <v>105000000</v>
      </c>
      <c r="I29" s="14">
        <v>872653</v>
      </c>
      <c r="J29" s="12">
        <v>0.00136</v>
      </c>
      <c r="K29" s="13">
        <v>0.4912</v>
      </c>
      <c r="L29" s="11">
        <v>5250000</v>
      </c>
      <c r="M29" s="11">
        <v>1000000000</v>
      </c>
      <c r="N29" s="11">
        <v>5250000</v>
      </c>
      <c r="O29" s="13">
        <v>0.00525</v>
      </c>
    </row>
    <row r="30" spans="1:15" x14ac:dyDescent="0.25">
      <c r="A30" s="5" t="s">
        <v>51</v>
      </c>
      <c r="B30" s="5" t="s">
        <v>52</v>
      </c>
      <c r="C30" s="5" t="s">
        <v>53</v>
      </c>
      <c r="D30" s="5" t="s">
        <v>50</v>
      </c>
      <c r="E30" s="6">
        <v>45895.77083333333</v>
      </c>
      <c r="F30" s="6">
        <v>46968.77083333333</v>
      </c>
      <c r="G30" s="5" t="s">
        <v>36</v>
      </c>
      <c r="H30" s="7">
        <v>201000000</v>
      </c>
      <c r="I30" s="5" t="s">
        <v>37</v>
      </c>
      <c r="J30" s="9">
        <v>0.00134</v>
      </c>
      <c r="K30" s="10">
        <v>0.4906</v>
      </c>
      <c r="L30" s="7">
        <v>201000000</v>
      </c>
      <c r="M30" s="7">
        <v>1000000000</v>
      </c>
      <c r="N30" s="7">
        <v>201000000</v>
      </c>
      <c r="O30" s="10">
        <v>0.201</v>
      </c>
    </row>
    <row r="31" spans="1:15" x14ac:dyDescent="0.25">
      <c r="A31" t="s">
        <v>51</v>
      </c>
      <c r="B31" t="s">
        <v>52</v>
      </c>
      <c r="C31" t="s">
        <v>53</v>
      </c>
      <c r="D31" t="s">
        <v>50</v>
      </c>
      <c r="E31" s="2">
        <v>45973.77083333333</v>
      </c>
      <c r="F31" s="2">
        <v>46666.77083333333</v>
      </c>
      <c r="G31" t="s">
        <v>38</v>
      </c>
      <c r="H31" s="11">
        <v>369000000</v>
      </c>
      <c r="I31" s="14">
        <v>-5353324</v>
      </c>
      <c r="J31" s="12">
        <v>0.00145</v>
      </c>
      <c r="K31" s="13">
        <v>0.3561</v>
      </c>
      <c r="L31" s="11">
        <v>11070000</v>
      </c>
      <c r="M31" s="11">
        <v>1000000000</v>
      </c>
      <c r="N31" s="11">
        <v>11070000</v>
      </c>
      <c r="O31" s="13">
        <v>0.01107</v>
      </c>
    </row>
    <row r="32" spans="1:15" x14ac:dyDescent="0.25">
      <c r="A32" s="5" t="s">
        <v>51</v>
      </c>
      <c r="B32" s="5" t="s">
        <v>52</v>
      </c>
      <c r="C32" s="5" t="s">
        <v>53</v>
      </c>
      <c r="D32" s="5" t="s">
        <v>50</v>
      </c>
      <c r="E32" s="6">
        <v>45857.77083333333</v>
      </c>
      <c r="F32" s="6">
        <v>46778.77083333333</v>
      </c>
      <c r="G32" s="5" t="s">
        <v>35</v>
      </c>
      <c r="H32" s="7">
        <v>100000000</v>
      </c>
      <c r="I32" s="8">
        <v>1444789</v>
      </c>
      <c r="J32" s="9">
        <v>0.00171</v>
      </c>
      <c r="K32" s="10">
        <v>0.5528</v>
      </c>
      <c r="L32" s="7">
        <v>5000000</v>
      </c>
      <c r="M32" s="7">
        <v>1000000000</v>
      </c>
      <c r="N32" s="7">
        <v>5000000</v>
      </c>
      <c r="O32" s="10">
        <v>0.005</v>
      </c>
    </row>
    <row r="33" spans="1:15" x14ac:dyDescent="0.25">
      <c r="A33" t="s">
        <v>54</v>
      </c>
      <c r="B33" t="s">
        <v>55</v>
      </c>
      <c r="C33" t="s">
        <v>33</v>
      </c>
      <c r="D33" t="s">
        <v>56</v>
      </c>
      <c r="E33" s="2">
        <v>45874.77083333333</v>
      </c>
      <c r="F33" s="2">
        <v>46590.77083333333</v>
      </c>
      <c r="G33" t="s">
        <v>44</v>
      </c>
      <c r="H33" s="11">
        <v>70000000</v>
      </c>
      <c r="I33" t="s">
        <v>37</v>
      </c>
      <c r="J33" s="12">
        <v>0.00239</v>
      </c>
      <c r="K33" s="13">
        <v>0.3165</v>
      </c>
      <c r="L33" s="11">
        <v>52500000</v>
      </c>
      <c r="M33" s="11">
        <v>900000000</v>
      </c>
      <c r="N33" s="11">
        <v>52500000</v>
      </c>
      <c r="O33" s="13">
        <v>0.058333333333333334</v>
      </c>
    </row>
    <row r="34" spans="1:15" x14ac:dyDescent="0.25">
      <c r="A34" s="5" t="s">
        <v>54</v>
      </c>
      <c r="B34" s="5" t="s">
        <v>55</v>
      </c>
      <c r="C34" s="5" t="s">
        <v>33</v>
      </c>
      <c r="D34" s="5" t="s">
        <v>56</v>
      </c>
      <c r="E34" s="6">
        <v>45796.77083333333</v>
      </c>
      <c r="F34" s="6">
        <v>46236.77083333333</v>
      </c>
      <c r="G34" s="5" t="s">
        <v>42</v>
      </c>
      <c r="H34" s="7">
        <v>22000000</v>
      </c>
      <c r="I34" s="5" t="s">
        <v>37</v>
      </c>
      <c r="J34" s="9">
        <v>0.0028</v>
      </c>
      <c r="K34" s="10">
        <v>0.3001</v>
      </c>
      <c r="L34" s="7">
        <v>22000000</v>
      </c>
      <c r="M34" s="7">
        <v>900000000</v>
      </c>
      <c r="N34" s="7">
        <v>22000000</v>
      </c>
      <c r="O34" s="10">
        <v>0.024444444444444446</v>
      </c>
    </row>
    <row r="35" spans="1:15" x14ac:dyDescent="0.25">
      <c r="A35" t="s">
        <v>54</v>
      </c>
      <c r="B35" t="s">
        <v>55</v>
      </c>
      <c r="C35" t="s">
        <v>33</v>
      </c>
      <c r="D35" t="s">
        <v>56</v>
      </c>
      <c r="E35" s="2">
        <v>45986.77083333333</v>
      </c>
      <c r="F35" s="2">
        <v>46618.77083333333</v>
      </c>
      <c r="G35" t="s">
        <v>43</v>
      </c>
      <c r="H35" s="11">
        <v>310000000</v>
      </c>
      <c r="I35" t="s">
        <v>37</v>
      </c>
      <c r="J35" s="12">
        <v>0.0024</v>
      </c>
      <c r="K35" s="13">
        <v>0.3949</v>
      </c>
      <c r="L35" s="11">
        <v>155000000</v>
      </c>
      <c r="M35" s="11">
        <v>900000000</v>
      </c>
      <c r="N35" s="11">
        <v>155000000</v>
      </c>
      <c r="O35" s="13">
        <v>0.17222222222222222</v>
      </c>
    </row>
    <row r="36" spans="1:15" x14ac:dyDescent="0.25">
      <c r="A36" s="5" t="s">
        <v>54</v>
      </c>
      <c r="B36" s="5" t="s">
        <v>55</v>
      </c>
      <c r="C36" s="5" t="s">
        <v>33</v>
      </c>
      <c r="D36" s="5" t="s">
        <v>56</v>
      </c>
      <c r="E36" s="6">
        <v>46003.77083333333</v>
      </c>
      <c r="F36" s="6">
        <v>46518.77083333333</v>
      </c>
      <c r="G36" s="5" t="s">
        <v>44</v>
      </c>
      <c r="H36" s="7">
        <v>325000000</v>
      </c>
      <c r="I36" s="5" t="s">
        <v>37</v>
      </c>
      <c r="J36" s="9">
        <v>0.0023</v>
      </c>
      <c r="K36" s="10">
        <v>0.321</v>
      </c>
      <c r="L36" s="7">
        <v>243750000</v>
      </c>
      <c r="M36" s="7">
        <v>900000000</v>
      </c>
      <c r="N36" s="7">
        <v>243750000</v>
      </c>
      <c r="O36" s="10">
        <v>0.2708333333333333</v>
      </c>
    </row>
    <row r="37" spans="1:15" x14ac:dyDescent="0.25">
      <c r="A37" t="s">
        <v>54</v>
      </c>
      <c r="B37" t="s">
        <v>55</v>
      </c>
      <c r="C37" t="s">
        <v>33</v>
      </c>
      <c r="D37" t="s">
        <v>56</v>
      </c>
      <c r="E37" s="2">
        <v>45662.77083333333</v>
      </c>
      <c r="F37" s="2">
        <v>46252.77083333333</v>
      </c>
      <c r="G37" t="s">
        <v>42</v>
      </c>
      <c r="H37" s="11">
        <v>366000000</v>
      </c>
      <c r="I37" t="s">
        <v>37</v>
      </c>
      <c r="J37" s="12">
        <v>0.0026</v>
      </c>
      <c r="K37" s="13">
        <v>0.2406</v>
      </c>
      <c r="L37" s="11">
        <v>366000000</v>
      </c>
      <c r="M37" s="11">
        <v>900000000</v>
      </c>
      <c r="N37" s="11">
        <v>366000000</v>
      </c>
      <c r="O37" s="13">
        <v>0.4066666666666667</v>
      </c>
    </row>
    <row r="38" spans="1:15" x14ac:dyDescent="0.25">
      <c r="A38" s="5" t="s">
        <v>57</v>
      </c>
      <c r="B38" s="5" t="s">
        <v>58</v>
      </c>
      <c r="C38" s="5" t="s">
        <v>59</v>
      </c>
      <c r="D38" s="5" t="s">
        <v>50</v>
      </c>
      <c r="E38" s="6">
        <v>45719.77083333333</v>
      </c>
      <c r="F38" s="6">
        <v>46583.77083333333</v>
      </c>
      <c r="G38" s="5" t="s">
        <v>35</v>
      </c>
      <c r="H38" s="7">
        <v>204000000</v>
      </c>
      <c r="I38" s="8">
        <v>1405843</v>
      </c>
      <c r="J38" s="9">
        <v>0.0002</v>
      </c>
      <c r="K38" s="10">
        <v>0.4904</v>
      </c>
      <c r="L38" s="7">
        <v>10200000</v>
      </c>
      <c r="M38" s="7">
        <v>500000000</v>
      </c>
      <c r="N38" s="7">
        <v>10200000</v>
      </c>
      <c r="O38" s="10">
        <v>0.0204</v>
      </c>
    </row>
    <row r="39" spans="1:15" x14ac:dyDescent="0.25">
      <c r="A39" t="s">
        <v>57</v>
      </c>
      <c r="B39" t="s">
        <v>58</v>
      </c>
      <c r="C39" t="s">
        <v>59</v>
      </c>
      <c r="D39" t="s">
        <v>50</v>
      </c>
      <c r="E39" s="2">
        <v>45707.77083333333</v>
      </c>
      <c r="F39" s="2">
        <v>46649.77083333333</v>
      </c>
      <c r="G39" t="s">
        <v>36</v>
      </c>
      <c r="H39" s="11">
        <v>198000000</v>
      </c>
      <c r="I39" t="s">
        <v>37</v>
      </c>
      <c r="J39" s="12">
        <v>0.0002</v>
      </c>
      <c r="K39" s="13">
        <v>0.4585</v>
      </c>
      <c r="L39" s="11">
        <v>198000000</v>
      </c>
      <c r="M39" s="11">
        <v>500000000</v>
      </c>
      <c r="N39" s="11">
        <v>198000000</v>
      </c>
      <c r="O39" s="13">
        <v>0.396</v>
      </c>
    </row>
    <row r="40" spans="1:15" x14ac:dyDescent="0.25">
      <c r="A40" s="5" t="s">
        <v>57</v>
      </c>
      <c r="B40" s="5" t="s">
        <v>58</v>
      </c>
      <c r="C40" s="5" t="s">
        <v>59</v>
      </c>
      <c r="D40" s="5" t="s">
        <v>50</v>
      </c>
      <c r="E40" s="6">
        <v>45822.77083333333</v>
      </c>
      <c r="F40" s="6">
        <v>46421.77083333333</v>
      </c>
      <c r="G40" s="5" t="s">
        <v>38</v>
      </c>
      <c r="H40" s="7">
        <v>365000000</v>
      </c>
      <c r="I40" s="8">
        <v>6116061</v>
      </c>
      <c r="J40" s="9">
        <v>0.00017</v>
      </c>
      <c r="K40" s="10">
        <v>0.4277</v>
      </c>
      <c r="L40" s="7">
        <v>10950000</v>
      </c>
      <c r="M40" s="7">
        <v>500000000</v>
      </c>
      <c r="N40" s="7">
        <v>10950000</v>
      </c>
      <c r="O40" s="10">
        <v>0.0219</v>
      </c>
    </row>
    <row r="41" spans="1:15" x14ac:dyDescent="0.25">
      <c r="A41" t="s">
        <v>57</v>
      </c>
      <c r="B41" t="s">
        <v>58</v>
      </c>
      <c r="C41" t="s">
        <v>59</v>
      </c>
      <c r="D41" t="s">
        <v>50</v>
      </c>
      <c r="E41" s="2">
        <v>45696.77083333333</v>
      </c>
      <c r="F41" s="2">
        <v>46274.77083333333</v>
      </c>
      <c r="G41" t="s">
        <v>35</v>
      </c>
      <c r="H41" s="11">
        <v>197000000</v>
      </c>
      <c r="I41" s="14">
        <v>2302052</v>
      </c>
      <c r="J41" s="12">
        <v>0.00021</v>
      </c>
      <c r="K41" s="13">
        <v>0.4697</v>
      </c>
      <c r="L41" s="11">
        <v>9850000</v>
      </c>
      <c r="M41" s="11">
        <v>500000000</v>
      </c>
      <c r="N41" s="11">
        <v>9850000</v>
      </c>
      <c r="O41" s="13">
        <v>0.0197</v>
      </c>
    </row>
    <row r="42" spans="1:15" x14ac:dyDescent="0.25">
      <c r="A42" s="5" t="s">
        <v>57</v>
      </c>
      <c r="B42" s="5" t="s">
        <v>58</v>
      </c>
      <c r="C42" s="5" t="s">
        <v>59</v>
      </c>
      <c r="D42" s="5" t="s">
        <v>50</v>
      </c>
      <c r="E42" s="6">
        <v>45749.77083333333</v>
      </c>
      <c r="F42" s="6">
        <v>46208.77083333333</v>
      </c>
      <c r="G42" s="5" t="s">
        <v>36</v>
      </c>
      <c r="H42" s="7">
        <v>158000000</v>
      </c>
      <c r="I42" s="5" t="s">
        <v>37</v>
      </c>
      <c r="J42" s="9">
        <v>0.00023</v>
      </c>
      <c r="K42" s="10">
        <v>0.51</v>
      </c>
      <c r="L42" s="7">
        <v>158000000</v>
      </c>
      <c r="M42" s="7">
        <v>500000000</v>
      </c>
      <c r="N42" s="7">
        <v>158000000</v>
      </c>
      <c r="O42" s="10">
        <v>0.316</v>
      </c>
    </row>
    <row r="43" spans="1:15" x14ac:dyDescent="0.25">
      <c r="A43" t="s">
        <v>60</v>
      </c>
      <c r="B43" t="s">
        <v>61</v>
      </c>
      <c r="C43" t="s">
        <v>62</v>
      </c>
      <c r="D43" t="s">
        <v>47</v>
      </c>
      <c r="E43" s="2">
        <v>45659.77083333333</v>
      </c>
      <c r="F43" s="2">
        <v>46095.77083333333</v>
      </c>
      <c r="G43" t="s">
        <v>42</v>
      </c>
      <c r="H43" s="11">
        <v>125000000</v>
      </c>
      <c r="I43" t="s">
        <v>37</v>
      </c>
      <c r="J43" s="12">
        <v>0.00066</v>
      </c>
      <c r="K43" s="13">
        <v>0.3379</v>
      </c>
      <c r="L43" s="11">
        <v>125000000</v>
      </c>
      <c r="M43" s="11">
        <v>750000000</v>
      </c>
      <c r="N43" s="11">
        <v>125000000</v>
      </c>
      <c r="O43" s="13">
        <v>0.16666666666666666</v>
      </c>
    </row>
    <row r="44" spans="1:15" x14ac:dyDescent="0.25">
      <c r="A44" s="5" t="s">
        <v>60</v>
      </c>
      <c r="B44" s="5" t="s">
        <v>61</v>
      </c>
      <c r="C44" s="5" t="s">
        <v>62</v>
      </c>
      <c r="D44" s="5" t="s">
        <v>47</v>
      </c>
      <c r="E44" s="6">
        <v>45697.77083333333</v>
      </c>
      <c r="F44" s="6">
        <v>46753.77083333333</v>
      </c>
      <c r="G44" s="5" t="s">
        <v>43</v>
      </c>
      <c r="H44" s="7">
        <v>388000000</v>
      </c>
      <c r="I44" s="5" t="s">
        <v>37</v>
      </c>
      <c r="J44" s="9">
        <v>0.00054</v>
      </c>
      <c r="K44" s="10">
        <v>0.3793</v>
      </c>
      <c r="L44" s="7">
        <v>194000000</v>
      </c>
      <c r="M44" s="7">
        <v>750000000</v>
      </c>
      <c r="N44" s="7">
        <v>194000000</v>
      </c>
      <c r="O44" s="10">
        <v>0.25866666666666666</v>
      </c>
    </row>
    <row r="45" spans="1:15" x14ac:dyDescent="0.25">
      <c r="A45" t="s">
        <v>60</v>
      </c>
      <c r="B45" t="s">
        <v>61</v>
      </c>
      <c r="C45" t="s">
        <v>62</v>
      </c>
      <c r="D45" t="s">
        <v>47</v>
      </c>
      <c r="E45" s="2">
        <v>45679.77083333333</v>
      </c>
      <c r="F45" s="2">
        <v>46121.77083333333</v>
      </c>
      <c r="G45" t="s">
        <v>44</v>
      </c>
      <c r="H45" s="11">
        <v>207000000</v>
      </c>
      <c r="I45" t="s">
        <v>37</v>
      </c>
      <c r="J45" s="12">
        <v>0.00064</v>
      </c>
      <c r="K45" s="13">
        <v>0.3238</v>
      </c>
      <c r="L45" s="11">
        <v>155250000</v>
      </c>
      <c r="M45" s="11">
        <v>750000000</v>
      </c>
      <c r="N45" s="11">
        <v>155250000</v>
      </c>
      <c r="O45" s="13">
        <v>0.207</v>
      </c>
    </row>
    <row r="46" spans="1:15" x14ac:dyDescent="0.25">
      <c r="A46" s="5" t="s">
        <v>60</v>
      </c>
      <c r="B46" s="5" t="s">
        <v>61</v>
      </c>
      <c r="C46" s="5" t="s">
        <v>62</v>
      </c>
      <c r="D46" s="5" t="s">
        <v>47</v>
      </c>
      <c r="E46" s="6">
        <v>45873.77083333333</v>
      </c>
      <c r="F46" s="6">
        <v>46627.77083333333</v>
      </c>
      <c r="G46" s="5" t="s">
        <v>42</v>
      </c>
      <c r="H46" s="7">
        <v>424000000</v>
      </c>
      <c r="I46" s="5" t="s">
        <v>37</v>
      </c>
      <c r="J46" s="9">
        <v>0.00058</v>
      </c>
      <c r="K46" s="10">
        <v>0.2389</v>
      </c>
      <c r="L46" s="7">
        <v>424000000</v>
      </c>
      <c r="M46" s="7">
        <v>750000000</v>
      </c>
      <c r="N46" s="7">
        <v>424000000</v>
      </c>
      <c r="O46" s="10">
        <v>0.5653333333333334</v>
      </c>
    </row>
    <row r="47" spans="1:15" x14ac:dyDescent="0.25">
      <c r="A47" t="s">
        <v>60</v>
      </c>
      <c r="B47" t="s">
        <v>61</v>
      </c>
      <c r="C47" t="s">
        <v>62</v>
      </c>
      <c r="D47" t="s">
        <v>47</v>
      </c>
      <c r="E47" s="2">
        <v>45770.77083333333</v>
      </c>
      <c r="F47" s="2">
        <v>46705.77083333333</v>
      </c>
      <c r="G47" t="s">
        <v>43</v>
      </c>
      <c r="H47" s="11">
        <v>122000000</v>
      </c>
      <c r="I47" t="s">
        <v>37</v>
      </c>
      <c r="J47" s="12">
        <v>0.00063</v>
      </c>
      <c r="K47" s="13">
        <v>0.2602</v>
      </c>
      <c r="L47" s="11">
        <v>61000000</v>
      </c>
      <c r="M47" s="11">
        <v>750000000</v>
      </c>
      <c r="N47" s="11">
        <v>61000000</v>
      </c>
      <c r="O47" s="13">
        <v>0.08133333333333333</v>
      </c>
    </row>
    <row r="48" spans="1:15" x14ac:dyDescent="0.25">
      <c r="A48" s="15" t="s">
        <v>63</v>
      </c>
      <c r="B48" s="15" t="s">
        <v>64</v>
      </c>
      <c r="C48" s="15" t="s">
        <v>65</v>
      </c>
      <c r="D48" s="15" t="s">
        <v>47</v>
      </c>
      <c r="E48" s="16">
        <v>45951.77083333333</v>
      </c>
      <c r="F48" s="16">
        <v>46687.77083333333</v>
      </c>
      <c r="G48" s="15" t="s">
        <v>36</v>
      </c>
      <c r="H48" s="17">
        <v>476000000</v>
      </c>
      <c r="I48" s="15" t="s">
        <v>37</v>
      </c>
      <c r="J48" s="18">
        <v>0.00121</v>
      </c>
      <c r="K48" s="19">
        <v>0.4507</v>
      </c>
      <c r="L48" s="17">
        <v>476000000</v>
      </c>
      <c r="M48" s="17">
        <v>400000000</v>
      </c>
      <c r="N48" s="17">
        <v>476000000</v>
      </c>
      <c r="O48" s="19">
        <v>1.19</v>
      </c>
    </row>
    <row r="49" spans="1:15" x14ac:dyDescent="0.25">
      <c r="A49" t="s">
        <v>63</v>
      </c>
      <c r="B49" t="s">
        <v>64</v>
      </c>
      <c r="C49" t="s">
        <v>65</v>
      </c>
      <c r="D49" t="s">
        <v>47</v>
      </c>
      <c r="E49" s="2">
        <v>45698.77083333333</v>
      </c>
      <c r="F49" s="2">
        <v>46790.77083333333</v>
      </c>
      <c r="G49" t="s">
        <v>38</v>
      </c>
      <c r="H49" s="11">
        <v>447000000</v>
      </c>
      <c r="I49" s="14">
        <v>1370901</v>
      </c>
      <c r="J49" s="12">
        <v>0.00121</v>
      </c>
      <c r="K49" s="13">
        <v>0.4807</v>
      </c>
      <c r="L49" s="11">
        <v>13410000</v>
      </c>
      <c r="M49" s="11">
        <v>400000000</v>
      </c>
      <c r="N49" s="11">
        <v>13410000</v>
      </c>
      <c r="O49" s="13">
        <v>0.033525</v>
      </c>
    </row>
    <row r="50" spans="1:15" x14ac:dyDescent="0.25">
      <c r="A50" s="5" t="s">
        <v>63</v>
      </c>
      <c r="B50" s="5" t="s">
        <v>64</v>
      </c>
      <c r="C50" s="5" t="s">
        <v>65</v>
      </c>
      <c r="D50" s="5" t="s">
        <v>47</v>
      </c>
      <c r="E50" s="6">
        <v>45970.77083333333</v>
      </c>
      <c r="F50" s="6">
        <v>46420.77083333333</v>
      </c>
      <c r="G50" s="5" t="s">
        <v>35</v>
      </c>
      <c r="H50" s="7">
        <v>253000000</v>
      </c>
      <c r="I50" s="8">
        <v>3085064</v>
      </c>
      <c r="J50" s="9">
        <v>0.00121</v>
      </c>
      <c r="K50" s="10">
        <v>0.553</v>
      </c>
      <c r="L50" s="7">
        <v>12650000</v>
      </c>
      <c r="M50" s="7">
        <v>400000000</v>
      </c>
      <c r="N50" s="7">
        <v>12650000</v>
      </c>
      <c r="O50" s="10">
        <v>0.031625</v>
      </c>
    </row>
    <row r="51" spans="1:15" x14ac:dyDescent="0.25">
      <c r="A51" t="s">
        <v>63</v>
      </c>
      <c r="B51" t="s">
        <v>64</v>
      </c>
      <c r="C51" t="s">
        <v>65</v>
      </c>
      <c r="D51" t="s">
        <v>47</v>
      </c>
      <c r="E51" s="2">
        <v>45721.77083333333</v>
      </c>
      <c r="F51" s="2">
        <v>46802.77083333333</v>
      </c>
      <c r="G51" t="s">
        <v>36</v>
      </c>
      <c r="H51" s="11">
        <v>32000000</v>
      </c>
      <c r="I51" t="s">
        <v>37</v>
      </c>
      <c r="J51" s="12">
        <v>0.00141</v>
      </c>
      <c r="K51" s="13">
        <v>0.479</v>
      </c>
      <c r="L51" s="11">
        <v>32000000</v>
      </c>
      <c r="M51" s="11">
        <v>400000000</v>
      </c>
      <c r="N51" s="11">
        <v>32000000</v>
      </c>
      <c r="O51" s="13">
        <v>0.08</v>
      </c>
    </row>
    <row r="52" spans="1:15" x14ac:dyDescent="0.25">
      <c r="A52" s="5" t="s">
        <v>63</v>
      </c>
      <c r="B52" s="5" t="s">
        <v>64</v>
      </c>
      <c r="C52" s="5" t="s">
        <v>65</v>
      </c>
      <c r="D52" s="5" t="s">
        <v>47</v>
      </c>
      <c r="E52" s="6">
        <v>45881.77083333333</v>
      </c>
      <c r="F52" s="6">
        <v>46770.77083333333</v>
      </c>
      <c r="G52" s="5" t="s">
        <v>38</v>
      </c>
      <c r="H52" s="7">
        <v>289000000</v>
      </c>
      <c r="I52" s="8">
        <v>-8090132</v>
      </c>
      <c r="J52" s="9">
        <v>0.00141</v>
      </c>
      <c r="K52" s="10">
        <v>0.4333</v>
      </c>
      <c r="L52" s="7">
        <v>8670000</v>
      </c>
      <c r="M52" s="7">
        <v>400000000</v>
      </c>
      <c r="N52" s="7">
        <v>8670000</v>
      </c>
      <c r="O52" s="10">
        <v>0.021675</v>
      </c>
    </row>
    <row r="53" spans="1:15" x14ac:dyDescent="0.25">
      <c r="A53" t="s">
        <v>66</v>
      </c>
      <c r="B53" t="s">
        <v>67</v>
      </c>
      <c r="C53" t="s">
        <v>68</v>
      </c>
      <c r="D53" t="s">
        <v>34</v>
      </c>
      <c r="E53" s="2">
        <v>45753.77083333333</v>
      </c>
      <c r="F53" s="2">
        <v>46702.77083333333</v>
      </c>
      <c r="G53" t="s">
        <v>43</v>
      </c>
      <c r="H53" s="11">
        <v>101000000</v>
      </c>
      <c r="I53" t="s">
        <v>37</v>
      </c>
      <c r="J53" s="12">
        <v>0.00722</v>
      </c>
      <c r="K53" s="13">
        <v>0.2738</v>
      </c>
      <c r="L53" s="11">
        <v>50500000</v>
      </c>
      <c r="M53" s="11">
        <v>600000000</v>
      </c>
      <c r="N53" s="11">
        <v>50500000</v>
      </c>
      <c r="O53" s="13">
        <v>0.08416666666666667</v>
      </c>
    </row>
    <row r="54" spans="1:15" x14ac:dyDescent="0.25">
      <c r="A54" s="5" t="s">
        <v>66</v>
      </c>
      <c r="B54" s="5" t="s">
        <v>67</v>
      </c>
      <c r="C54" s="5" t="s">
        <v>68</v>
      </c>
      <c r="D54" s="5" t="s">
        <v>34</v>
      </c>
      <c r="E54" s="6">
        <v>45753.77083333333</v>
      </c>
      <c r="F54" s="6">
        <v>46692.77083333333</v>
      </c>
      <c r="G54" s="5" t="s">
        <v>44</v>
      </c>
      <c r="H54" s="7">
        <v>482000000</v>
      </c>
      <c r="I54" s="5" t="s">
        <v>37</v>
      </c>
      <c r="J54" s="9">
        <v>0.00589</v>
      </c>
      <c r="K54" s="10">
        <v>0.3137</v>
      </c>
      <c r="L54" s="7">
        <v>361500000</v>
      </c>
      <c r="M54" s="7">
        <v>600000000</v>
      </c>
      <c r="N54" s="7">
        <v>361500000</v>
      </c>
      <c r="O54" s="10">
        <v>0.6025</v>
      </c>
    </row>
    <row r="55" spans="1:15" x14ac:dyDescent="0.25">
      <c r="A55" t="s">
        <v>66</v>
      </c>
      <c r="B55" t="s">
        <v>67</v>
      </c>
      <c r="C55" t="s">
        <v>68</v>
      </c>
      <c r="D55" t="s">
        <v>34</v>
      </c>
      <c r="E55" s="2">
        <v>45690.77083333333</v>
      </c>
      <c r="F55" s="2">
        <v>46729.77083333333</v>
      </c>
      <c r="G55" t="s">
        <v>42</v>
      </c>
      <c r="H55" s="11">
        <v>22000000</v>
      </c>
      <c r="I55" t="s">
        <v>37</v>
      </c>
      <c r="J55" s="12">
        <v>0.00698</v>
      </c>
      <c r="K55" s="13">
        <v>0.3114</v>
      </c>
      <c r="L55" s="11">
        <v>22000000</v>
      </c>
      <c r="M55" s="11">
        <v>600000000</v>
      </c>
      <c r="N55" s="11">
        <v>22000000</v>
      </c>
      <c r="O55" s="13">
        <v>0.03666666666666667</v>
      </c>
    </row>
    <row r="56" spans="1:15" x14ac:dyDescent="0.25">
      <c r="A56" s="5" t="s">
        <v>66</v>
      </c>
      <c r="B56" s="5" t="s">
        <v>67</v>
      </c>
      <c r="C56" s="5" t="s">
        <v>68</v>
      </c>
      <c r="D56" s="5" t="s">
        <v>34</v>
      </c>
      <c r="E56" s="6">
        <v>45711.77083333333</v>
      </c>
      <c r="F56" s="6">
        <v>46454.77083333333</v>
      </c>
      <c r="G56" s="5" t="s">
        <v>43</v>
      </c>
      <c r="H56" s="7">
        <v>252000000</v>
      </c>
      <c r="I56" s="5" t="s">
        <v>37</v>
      </c>
      <c r="J56" s="9">
        <v>0.00619</v>
      </c>
      <c r="K56" s="10">
        <v>0.3037</v>
      </c>
      <c r="L56" s="7">
        <v>126000000</v>
      </c>
      <c r="M56" s="7">
        <v>600000000</v>
      </c>
      <c r="N56" s="7">
        <v>126000000</v>
      </c>
      <c r="O56" s="10">
        <v>0.21</v>
      </c>
    </row>
    <row r="57" spans="1:15" x14ac:dyDescent="0.25">
      <c r="A57" t="s">
        <v>66</v>
      </c>
      <c r="B57" t="s">
        <v>67</v>
      </c>
      <c r="C57" t="s">
        <v>68</v>
      </c>
      <c r="D57" t="s">
        <v>34</v>
      </c>
      <c r="E57" s="2">
        <v>45701.77083333333</v>
      </c>
      <c r="F57" s="2">
        <v>46592.77083333333</v>
      </c>
      <c r="G57" t="s">
        <v>44</v>
      </c>
      <c r="H57" s="11">
        <v>284000000</v>
      </c>
      <c r="I57" t="s">
        <v>37</v>
      </c>
      <c r="J57" s="12">
        <v>0.00689</v>
      </c>
      <c r="K57" s="13">
        <v>0.3584</v>
      </c>
      <c r="L57" s="11">
        <v>213000000</v>
      </c>
      <c r="M57" s="11">
        <v>600000000</v>
      </c>
      <c r="N57" s="11">
        <v>213000000</v>
      </c>
      <c r="O57" s="13">
        <v>0.355</v>
      </c>
    </row>
    <row r="58" spans="1:15" x14ac:dyDescent="0.25">
      <c r="A58" s="5" t="s">
        <v>69</v>
      </c>
      <c r="B58" s="5" t="s">
        <v>70</v>
      </c>
      <c r="C58" s="5" t="s">
        <v>71</v>
      </c>
      <c r="D58" s="5" t="s">
        <v>34</v>
      </c>
      <c r="E58" s="6">
        <v>45661.77083333333</v>
      </c>
      <c r="F58" s="6">
        <v>46497.77083333333</v>
      </c>
      <c r="G58" s="5" t="s">
        <v>38</v>
      </c>
      <c r="H58" s="7">
        <v>184000000</v>
      </c>
      <c r="I58" s="8">
        <v>-344715</v>
      </c>
      <c r="J58" s="9">
        <v>0.00052</v>
      </c>
      <c r="K58" s="10">
        <v>0.4998</v>
      </c>
      <c r="L58" s="7">
        <v>5520000</v>
      </c>
      <c r="M58" s="7">
        <v>800000000</v>
      </c>
      <c r="N58" s="7">
        <v>5520000</v>
      </c>
      <c r="O58" s="10">
        <v>0.0069</v>
      </c>
    </row>
    <row r="59" spans="1:15" x14ac:dyDescent="0.25">
      <c r="A59" t="s">
        <v>69</v>
      </c>
      <c r="B59" t="s">
        <v>70</v>
      </c>
      <c r="C59" t="s">
        <v>71</v>
      </c>
      <c r="D59" t="s">
        <v>34</v>
      </c>
      <c r="E59" s="2">
        <v>45754.77083333333</v>
      </c>
      <c r="F59" s="2">
        <v>46389.77083333333</v>
      </c>
      <c r="G59" t="s">
        <v>35</v>
      </c>
      <c r="H59" s="11">
        <v>229000000</v>
      </c>
      <c r="I59" s="14">
        <v>3358011</v>
      </c>
      <c r="J59" s="12">
        <v>0.0006</v>
      </c>
      <c r="K59" s="13">
        <v>0.5365</v>
      </c>
      <c r="L59" s="11">
        <v>11450000</v>
      </c>
      <c r="M59" s="11">
        <v>800000000</v>
      </c>
      <c r="N59" s="11">
        <v>11450000</v>
      </c>
      <c r="O59" s="13">
        <v>0.0143125</v>
      </c>
    </row>
    <row r="60" spans="1:15" x14ac:dyDescent="0.25">
      <c r="A60" s="5" t="s">
        <v>69</v>
      </c>
      <c r="B60" s="5" t="s">
        <v>70</v>
      </c>
      <c r="C60" s="5" t="s">
        <v>71</v>
      </c>
      <c r="D60" s="5" t="s">
        <v>34</v>
      </c>
      <c r="E60" s="6">
        <v>45942.77083333333</v>
      </c>
      <c r="F60" s="6">
        <v>46506.77083333333</v>
      </c>
      <c r="G60" s="5" t="s">
        <v>36</v>
      </c>
      <c r="H60" s="7">
        <v>342000000</v>
      </c>
      <c r="I60" s="5" t="s">
        <v>37</v>
      </c>
      <c r="J60" s="9">
        <v>0.00054</v>
      </c>
      <c r="K60" s="10">
        <v>0.5348</v>
      </c>
      <c r="L60" s="7">
        <v>342000000</v>
      </c>
      <c r="M60" s="7">
        <v>800000000</v>
      </c>
      <c r="N60" s="7">
        <v>342000000</v>
      </c>
      <c r="O60" s="10">
        <v>0.4275</v>
      </c>
    </row>
    <row r="61" spans="1:15" x14ac:dyDescent="0.25">
      <c r="A61" t="s">
        <v>69</v>
      </c>
      <c r="B61" t="s">
        <v>70</v>
      </c>
      <c r="C61" t="s">
        <v>71</v>
      </c>
      <c r="D61" t="s">
        <v>34</v>
      </c>
      <c r="E61" s="2">
        <v>45718.77083333333</v>
      </c>
      <c r="F61" s="2">
        <v>46325.77083333333</v>
      </c>
      <c r="G61" t="s">
        <v>38</v>
      </c>
      <c r="H61" s="11">
        <v>499000000</v>
      </c>
      <c r="I61" s="14">
        <v>-12212541</v>
      </c>
      <c r="J61" s="12">
        <v>0.00066</v>
      </c>
      <c r="K61" s="13">
        <v>0.404</v>
      </c>
      <c r="L61" s="11">
        <v>14970000</v>
      </c>
      <c r="M61" s="11">
        <v>800000000</v>
      </c>
      <c r="N61" s="11">
        <v>14970000</v>
      </c>
      <c r="O61" s="13">
        <v>0.0187125</v>
      </c>
    </row>
    <row r="62" spans="1:15" x14ac:dyDescent="0.25">
      <c r="A62" s="5" t="s">
        <v>69</v>
      </c>
      <c r="B62" s="5" t="s">
        <v>70</v>
      </c>
      <c r="C62" s="5" t="s">
        <v>71</v>
      </c>
      <c r="D62" s="5" t="s">
        <v>34</v>
      </c>
      <c r="E62" s="6">
        <v>45999.77083333333</v>
      </c>
      <c r="F62" s="6">
        <v>46652.77083333333</v>
      </c>
      <c r="G62" s="5" t="s">
        <v>35</v>
      </c>
      <c r="H62" s="7">
        <v>92000000</v>
      </c>
      <c r="I62" s="8">
        <v>-2464609</v>
      </c>
      <c r="J62" s="9">
        <v>0.00057</v>
      </c>
      <c r="K62" s="10">
        <v>0.5164</v>
      </c>
      <c r="L62" s="7">
        <v>4600000</v>
      </c>
      <c r="M62" s="7">
        <v>800000000</v>
      </c>
      <c r="N62" s="7">
        <v>4600000</v>
      </c>
      <c r="O62" s="10">
        <v>0.00575</v>
      </c>
    </row>
    <row r="63" spans="1:15" x14ac:dyDescent="0.25">
      <c r="A63" t="s">
        <v>72</v>
      </c>
      <c r="B63" t="s">
        <v>73</v>
      </c>
      <c r="C63" t="s">
        <v>71</v>
      </c>
      <c r="D63" t="s">
        <v>50</v>
      </c>
      <c r="E63" s="2">
        <v>45991.77083333333</v>
      </c>
      <c r="F63" s="2">
        <v>46424.77083333333</v>
      </c>
      <c r="G63" t="s">
        <v>44</v>
      </c>
      <c r="H63" s="11">
        <v>410000000</v>
      </c>
      <c r="I63" t="s">
        <v>37</v>
      </c>
      <c r="J63" s="12">
        <v>0.00042</v>
      </c>
      <c r="K63" s="13">
        <v>0.3621</v>
      </c>
      <c r="L63" s="11">
        <v>307500000</v>
      </c>
      <c r="M63" s="11">
        <v>1000000000</v>
      </c>
      <c r="N63" s="11">
        <v>307500000</v>
      </c>
      <c r="O63" s="13">
        <v>0.3075</v>
      </c>
    </row>
    <row r="64" spans="1:15" x14ac:dyDescent="0.25">
      <c r="A64" s="5" t="s">
        <v>72</v>
      </c>
      <c r="B64" s="5" t="s">
        <v>73</v>
      </c>
      <c r="C64" s="5" t="s">
        <v>71</v>
      </c>
      <c r="D64" s="5" t="s">
        <v>50</v>
      </c>
      <c r="E64" s="6">
        <v>45839.77083333333</v>
      </c>
      <c r="F64" s="6">
        <v>46898.77083333333</v>
      </c>
      <c r="G64" s="5" t="s">
        <v>42</v>
      </c>
      <c r="H64" s="7">
        <v>204000000</v>
      </c>
      <c r="I64" s="5" t="s">
        <v>37</v>
      </c>
      <c r="J64" s="9">
        <v>0.00039</v>
      </c>
      <c r="K64" s="10">
        <v>0.2779</v>
      </c>
      <c r="L64" s="7">
        <v>204000000</v>
      </c>
      <c r="M64" s="7">
        <v>1000000000</v>
      </c>
      <c r="N64" s="7">
        <v>204000000</v>
      </c>
      <c r="O64" s="10">
        <v>0.204</v>
      </c>
    </row>
    <row r="65" spans="1:15" x14ac:dyDescent="0.25">
      <c r="A65" t="s">
        <v>72</v>
      </c>
      <c r="B65" t="s">
        <v>73</v>
      </c>
      <c r="C65" t="s">
        <v>71</v>
      </c>
      <c r="D65" t="s">
        <v>50</v>
      </c>
      <c r="E65" s="2">
        <v>45657.77083333333</v>
      </c>
      <c r="F65" s="2">
        <v>46059.77083333333</v>
      </c>
      <c r="G65" t="s">
        <v>43</v>
      </c>
      <c r="H65" s="11">
        <v>52000000</v>
      </c>
      <c r="I65" t="s">
        <v>37</v>
      </c>
      <c r="J65" s="12">
        <v>0.00041</v>
      </c>
      <c r="K65" s="13">
        <v>0.3776</v>
      </c>
      <c r="L65" s="11">
        <v>26000000</v>
      </c>
      <c r="M65" s="11">
        <v>1000000000</v>
      </c>
      <c r="N65" s="11">
        <v>26000000</v>
      </c>
      <c r="O65" s="13">
        <v>0.026</v>
      </c>
    </row>
    <row r="66" spans="1:15" x14ac:dyDescent="0.25">
      <c r="A66" s="5" t="s">
        <v>72</v>
      </c>
      <c r="B66" s="5" t="s">
        <v>73</v>
      </c>
      <c r="C66" s="5" t="s">
        <v>71</v>
      </c>
      <c r="D66" s="5" t="s">
        <v>50</v>
      </c>
      <c r="E66" s="6">
        <v>45782.77083333333</v>
      </c>
      <c r="F66" s="6">
        <v>46161.77083333333</v>
      </c>
      <c r="G66" s="5" t="s">
        <v>44</v>
      </c>
      <c r="H66" s="7">
        <v>498000000</v>
      </c>
      <c r="I66" s="5" t="s">
        <v>37</v>
      </c>
      <c r="J66" s="9">
        <v>0.00035</v>
      </c>
      <c r="K66" s="10">
        <v>0.3461</v>
      </c>
      <c r="L66" s="7">
        <v>373500000</v>
      </c>
      <c r="M66" s="7">
        <v>1000000000</v>
      </c>
      <c r="N66" s="7">
        <v>373500000</v>
      </c>
      <c r="O66" s="10">
        <v>0.3735</v>
      </c>
    </row>
    <row r="67" spans="1:15" x14ac:dyDescent="0.25">
      <c r="A67" t="s">
        <v>72</v>
      </c>
      <c r="B67" t="s">
        <v>73</v>
      </c>
      <c r="C67" t="s">
        <v>71</v>
      </c>
      <c r="D67" t="s">
        <v>50</v>
      </c>
      <c r="E67" s="2">
        <v>45955.77083333333</v>
      </c>
      <c r="F67" s="2">
        <v>46607.77083333333</v>
      </c>
      <c r="G67" t="s">
        <v>42</v>
      </c>
      <c r="H67" s="11">
        <v>122000000</v>
      </c>
      <c r="I67" t="s">
        <v>37</v>
      </c>
      <c r="J67" s="12">
        <v>0.00038</v>
      </c>
      <c r="K67" s="13">
        <v>0.3002</v>
      </c>
      <c r="L67" s="11">
        <v>122000000</v>
      </c>
      <c r="M67" s="11">
        <v>1000000000</v>
      </c>
      <c r="N67" s="11">
        <v>122000000</v>
      </c>
      <c r="O67" s="13">
        <v>0.122</v>
      </c>
    </row>
    <row r="68" spans="1:15" x14ac:dyDescent="0.25">
      <c r="A68" s="5" t="s">
        <v>74</v>
      </c>
      <c r="B68" s="5" t="s">
        <v>75</v>
      </c>
      <c r="C68" s="5" t="s">
        <v>76</v>
      </c>
      <c r="D68" s="5" t="s">
        <v>77</v>
      </c>
      <c r="E68" s="6">
        <v>45667.77083333333</v>
      </c>
      <c r="F68" s="6">
        <v>46448.77083333333</v>
      </c>
      <c r="G68" s="5" t="s">
        <v>35</v>
      </c>
      <c r="H68" s="7">
        <v>97000000</v>
      </c>
      <c r="I68" s="8">
        <v>2238952</v>
      </c>
      <c r="J68" s="9">
        <v>0.00814</v>
      </c>
      <c r="K68" s="10">
        <v>0.4665</v>
      </c>
      <c r="L68" s="7">
        <v>4850000</v>
      </c>
      <c r="M68" s="7">
        <v>350000000</v>
      </c>
      <c r="N68" s="7">
        <v>4850000</v>
      </c>
      <c r="O68" s="10">
        <v>0.013857142857142858</v>
      </c>
    </row>
    <row r="69" spans="1:15" x14ac:dyDescent="0.25">
      <c r="A69" t="s">
        <v>74</v>
      </c>
      <c r="B69" t="s">
        <v>75</v>
      </c>
      <c r="C69" t="s">
        <v>76</v>
      </c>
      <c r="D69" t="s">
        <v>77</v>
      </c>
      <c r="E69" s="2">
        <v>45755.77083333333</v>
      </c>
      <c r="F69" s="2">
        <v>46547.77083333333</v>
      </c>
      <c r="G69" t="s">
        <v>36</v>
      </c>
      <c r="H69" s="11">
        <v>128000000</v>
      </c>
      <c r="I69" t="s">
        <v>37</v>
      </c>
      <c r="J69" s="12">
        <v>0.00933</v>
      </c>
      <c r="K69" s="13">
        <v>0.459</v>
      </c>
      <c r="L69" s="11">
        <v>128000000</v>
      </c>
      <c r="M69" s="11">
        <v>350000000</v>
      </c>
      <c r="N69" s="11">
        <v>128000000</v>
      </c>
      <c r="O69" s="13">
        <v>0.3657142857142857</v>
      </c>
    </row>
    <row r="70" spans="1:15" x14ac:dyDescent="0.25">
      <c r="A70" s="5" t="s">
        <v>74</v>
      </c>
      <c r="B70" s="5" t="s">
        <v>75</v>
      </c>
      <c r="C70" s="5" t="s">
        <v>76</v>
      </c>
      <c r="D70" s="5" t="s">
        <v>77</v>
      </c>
      <c r="E70" s="6">
        <v>45778.77083333333</v>
      </c>
      <c r="F70" s="6">
        <v>46569.77083333333</v>
      </c>
      <c r="G70" s="5" t="s">
        <v>38</v>
      </c>
      <c r="H70" s="7">
        <v>497000000</v>
      </c>
      <c r="I70" s="8">
        <v>-6237009</v>
      </c>
      <c r="J70" s="9">
        <v>0.00928</v>
      </c>
      <c r="K70" s="10">
        <v>0.4212</v>
      </c>
      <c r="L70" s="7">
        <v>14910000</v>
      </c>
      <c r="M70" s="7">
        <v>350000000</v>
      </c>
      <c r="N70" s="7">
        <v>14910000</v>
      </c>
      <c r="O70" s="10">
        <v>0.0426</v>
      </c>
    </row>
    <row r="71" spans="1:15" x14ac:dyDescent="0.25">
      <c r="A71" t="s">
        <v>74</v>
      </c>
      <c r="B71" t="s">
        <v>75</v>
      </c>
      <c r="C71" t="s">
        <v>76</v>
      </c>
      <c r="D71" t="s">
        <v>77</v>
      </c>
      <c r="E71" s="2">
        <v>45952.77083333333</v>
      </c>
      <c r="F71" s="2">
        <v>46369.77083333333</v>
      </c>
      <c r="G71" t="s">
        <v>35</v>
      </c>
      <c r="H71" s="11">
        <v>118000000</v>
      </c>
      <c r="I71" s="14">
        <v>-812222</v>
      </c>
      <c r="J71" s="12">
        <v>0.00977</v>
      </c>
      <c r="K71" s="13">
        <v>0.5935</v>
      </c>
      <c r="L71" s="11">
        <v>5900000</v>
      </c>
      <c r="M71" s="11">
        <v>350000000</v>
      </c>
      <c r="N71" s="11">
        <v>5900000</v>
      </c>
      <c r="O71" s="13">
        <v>0.01685714285714286</v>
      </c>
    </row>
    <row r="72" spans="1:15" x14ac:dyDescent="0.25">
      <c r="A72" s="5" t="s">
        <v>74</v>
      </c>
      <c r="B72" s="5" t="s">
        <v>75</v>
      </c>
      <c r="C72" s="5" t="s">
        <v>76</v>
      </c>
      <c r="D72" s="5" t="s">
        <v>77</v>
      </c>
      <c r="E72" s="6">
        <v>45683.77083333333</v>
      </c>
      <c r="F72" s="6">
        <v>46653.77083333333</v>
      </c>
      <c r="G72" s="5" t="s">
        <v>36</v>
      </c>
      <c r="H72" s="7">
        <v>147000000</v>
      </c>
      <c r="I72" s="5" t="s">
        <v>37</v>
      </c>
      <c r="J72" s="9">
        <v>0.00946</v>
      </c>
      <c r="K72" s="10">
        <v>0.5186</v>
      </c>
      <c r="L72" s="7">
        <v>147000000</v>
      </c>
      <c r="M72" s="7">
        <v>350000000</v>
      </c>
      <c r="N72" s="7">
        <v>147000000</v>
      </c>
      <c r="O72" s="10">
        <v>0.42</v>
      </c>
    </row>
    <row r="73" spans="1:15" x14ac:dyDescent="0.25">
      <c r="A73" s="15" t="s">
        <v>78</v>
      </c>
      <c r="B73" s="15" t="s">
        <v>79</v>
      </c>
      <c r="C73" s="15" t="s">
        <v>80</v>
      </c>
      <c r="D73" s="15" t="s">
        <v>47</v>
      </c>
      <c r="E73" s="16">
        <v>45844.77083333333</v>
      </c>
      <c r="F73" s="16">
        <v>46810.77083333333</v>
      </c>
      <c r="G73" s="15" t="s">
        <v>42</v>
      </c>
      <c r="H73" s="17">
        <v>432000000</v>
      </c>
      <c r="I73" s="15" t="s">
        <v>37</v>
      </c>
      <c r="J73" s="18">
        <v>0.00829</v>
      </c>
      <c r="K73" s="19">
        <v>0.2496</v>
      </c>
      <c r="L73" s="17">
        <v>432000000</v>
      </c>
      <c r="M73" s="17">
        <v>200000000</v>
      </c>
      <c r="N73" s="17">
        <v>432000000</v>
      </c>
      <c r="O73" s="19">
        <v>2.16</v>
      </c>
    </row>
    <row r="74" spans="1:15" x14ac:dyDescent="0.25">
      <c r="A74" s="5" t="s">
        <v>78</v>
      </c>
      <c r="B74" s="5" t="s">
        <v>79</v>
      </c>
      <c r="C74" s="5" t="s">
        <v>80</v>
      </c>
      <c r="D74" s="5" t="s">
        <v>47</v>
      </c>
      <c r="E74" s="6">
        <v>45720.77083333333</v>
      </c>
      <c r="F74" s="6">
        <v>46125.77083333333</v>
      </c>
      <c r="G74" s="5" t="s">
        <v>43</v>
      </c>
      <c r="H74" s="7">
        <v>225000000</v>
      </c>
      <c r="I74" s="5" t="s">
        <v>37</v>
      </c>
      <c r="J74" s="9">
        <v>0.00866</v>
      </c>
      <c r="K74" s="10">
        <v>0.2952</v>
      </c>
      <c r="L74" s="7">
        <v>112500000</v>
      </c>
      <c r="M74" s="7">
        <v>200000000</v>
      </c>
      <c r="N74" s="7">
        <v>112500000</v>
      </c>
      <c r="O74" s="10">
        <v>0.5625</v>
      </c>
    </row>
    <row r="75" spans="1:15" x14ac:dyDescent="0.25">
      <c r="A75" t="s">
        <v>78</v>
      </c>
      <c r="B75" t="s">
        <v>79</v>
      </c>
      <c r="C75" t="s">
        <v>80</v>
      </c>
      <c r="D75" t="s">
        <v>47</v>
      </c>
      <c r="E75" s="2">
        <v>45980.77083333333</v>
      </c>
      <c r="F75" s="2">
        <v>46449.77083333333</v>
      </c>
      <c r="G75" t="s">
        <v>44</v>
      </c>
      <c r="H75" s="11">
        <v>173000000</v>
      </c>
      <c r="I75" t="s">
        <v>37</v>
      </c>
      <c r="J75" s="12">
        <v>0.00779</v>
      </c>
      <c r="K75" s="13">
        <v>0.3531</v>
      </c>
      <c r="L75" s="11">
        <v>129750000</v>
      </c>
      <c r="M75" s="11">
        <v>200000000</v>
      </c>
      <c r="N75" s="11">
        <v>129750000</v>
      </c>
      <c r="O75" s="13">
        <v>0.64875</v>
      </c>
    </row>
    <row r="76" spans="1:15" x14ac:dyDescent="0.25">
      <c r="A76" s="15" t="s">
        <v>78</v>
      </c>
      <c r="B76" s="15" t="s">
        <v>79</v>
      </c>
      <c r="C76" s="15" t="s">
        <v>80</v>
      </c>
      <c r="D76" s="15" t="s">
        <v>47</v>
      </c>
      <c r="E76" s="16">
        <v>45671.77083333333</v>
      </c>
      <c r="F76" s="16">
        <v>46064.77083333333</v>
      </c>
      <c r="G76" s="15" t="s">
        <v>42</v>
      </c>
      <c r="H76" s="17">
        <v>266000000</v>
      </c>
      <c r="I76" s="15" t="s">
        <v>37</v>
      </c>
      <c r="J76" s="18">
        <v>0.00817</v>
      </c>
      <c r="K76" s="19">
        <v>0.3414</v>
      </c>
      <c r="L76" s="17">
        <v>266000000</v>
      </c>
      <c r="M76" s="17">
        <v>200000000</v>
      </c>
      <c r="N76" s="17">
        <v>266000000</v>
      </c>
      <c r="O76" s="19">
        <v>1.33</v>
      </c>
    </row>
    <row r="77" spans="1:15" x14ac:dyDescent="0.25">
      <c r="A77" s="15" t="s">
        <v>78</v>
      </c>
      <c r="B77" s="15" t="s">
        <v>79</v>
      </c>
      <c r="C77" s="15" t="s">
        <v>80</v>
      </c>
      <c r="D77" s="15" t="s">
        <v>47</v>
      </c>
      <c r="E77" s="16">
        <v>45809.77083333333</v>
      </c>
      <c r="F77" s="16">
        <v>46413.77083333333</v>
      </c>
      <c r="G77" s="15" t="s">
        <v>43</v>
      </c>
      <c r="H77" s="17">
        <v>453000000</v>
      </c>
      <c r="I77" s="15" t="s">
        <v>37</v>
      </c>
      <c r="J77" s="18">
        <v>0.0094</v>
      </c>
      <c r="K77" s="19">
        <v>0.2528</v>
      </c>
      <c r="L77" s="17">
        <v>226500000</v>
      </c>
      <c r="M77" s="17">
        <v>200000000</v>
      </c>
      <c r="N77" s="17">
        <v>226500000</v>
      </c>
      <c r="O77" s="19">
        <v>1.1325</v>
      </c>
    </row>
    <row r="78" spans="1:15" x14ac:dyDescent="0.25">
      <c r="A78" s="5" t="s">
        <v>81</v>
      </c>
      <c r="B78" s="5" t="s">
        <v>82</v>
      </c>
      <c r="C78" s="5" t="s">
        <v>62</v>
      </c>
      <c r="D78" s="5" t="s">
        <v>41</v>
      </c>
      <c r="E78" s="6">
        <v>45850.77083333333</v>
      </c>
      <c r="F78" s="6">
        <v>46251.77083333333</v>
      </c>
      <c r="G78" s="5" t="s">
        <v>36</v>
      </c>
      <c r="H78" s="7">
        <v>258000000</v>
      </c>
      <c r="I78" s="5" t="s">
        <v>37</v>
      </c>
      <c r="J78" s="9">
        <v>0.00146</v>
      </c>
      <c r="K78" s="10">
        <v>0.4483</v>
      </c>
      <c r="L78" s="7">
        <v>258000000</v>
      </c>
      <c r="M78" s="7">
        <v>700000000</v>
      </c>
      <c r="N78" s="7">
        <v>258000000</v>
      </c>
      <c r="O78" s="10">
        <v>0.36857142857142855</v>
      </c>
    </row>
    <row r="79" spans="1:15" x14ac:dyDescent="0.25">
      <c r="A79" t="s">
        <v>81</v>
      </c>
      <c r="B79" t="s">
        <v>82</v>
      </c>
      <c r="C79" t="s">
        <v>62</v>
      </c>
      <c r="D79" t="s">
        <v>41</v>
      </c>
      <c r="E79" s="2">
        <v>45938.77083333333</v>
      </c>
      <c r="F79" s="2">
        <v>46374.77083333333</v>
      </c>
      <c r="G79" t="s">
        <v>38</v>
      </c>
      <c r="H79" s="11">
        <v>239000000</v>
      </c>
      <c r="I79" s="14">
        <v>-789772</v>
      </c>
      <c r="J79" s="12">
        <v>0.00147</v>
      </c>
      <c r="K79" s="13">
        <v>0.3791</v>
      </c>
      <c r="L79" s="11">
        <v>7170000</v>
      </c>
      <c r="M79" s="11">
        <v>700000000</v>
      </c>
      <c r="N79" s="11">
        <v>7170000</v>
      </c>
      <c r="O79" s="13">
        <v>0.010242857142857142</v>
      </c>
    </row>
    <row r="80" spans="1:15" x14ac:dyDescent="0.25">
      <c r="A80" s="5" t="s">
        <v>81</v>
      </c>
      <c r="B80" s="5" t="s">
        <v>82</v>
      </c>
      <c r="C80" s="5" t="s">
        <v>62</v>
      </c>
      <c r="D80" s="5" t="s">
        <v>41</v>
      </c>
      <c r="E80" s="6">
        <v>45874.77083333333</v>
      </c>
      <c r="F80" s="6">
        <v>46633.77083333333</v>
      </c>
      <c r="G80" s="5" t="s">
        <v>35</v>
      </c>
      <c r="H80" s="7">
        <v>413000000</v>
      </c>
      <c r="I80" s="8">
        <v>-9312650</v>
      </c>
      <c r="J80" s="9">
        <v>0.00115</v>
      </c>
      <c r="K80" s="10">
        <v>0.4834</v>
      </c>
      <c r="L80" s="7">
        <v>20650000</v>
      </c>
      <c r="M80" s="7">
        <v>700000000</v>
      </c>
      <c r="N80" s="7">
        <v>20650000</v>
      </c>
      <c r="O80" s="10">
        <v>0.0295</v>
      </c>
    </row>
    <row r="81" spans="1:15" x14ac:dyDescent="0.25">
      <c r="A81" t="s">
        <v>81</v>
      </c>
      <c r="B81" t="s">
        <v>82</v>
      </c>
      <c r="C81" t="s">
        <v>62</v>
      </c>
      <c r="D81" t="s">
        <v>41</v>
      </c>
      <c r="E81" s="2">
        <v>45846.77083333333</v>
      </c>
      <c r="F81" s="2">
        <v>46938.77083333333</v>
      </c>
      <c r="G81" t="s">
        <v>36</v>
      </c>
      <c r="H81" s="11">
        <v>443000000</v>
      </c>
      <c r="I81" t="s">
        <v>37</v>
      </c>
      <c r="J81" s="12">
        <v>0.00131</v>
      </c>
      <c r="K81" s="13">
        <v>0.4082</v>
      </c>
      <c r="L81" s="11">
        <v>443000000</v>
      </c>
      <c r="M81" s="11">
        <v>700000000</v>
      </c>
      <c r="N81" s="11">
        <v>443000000</v>
      </c>
      <c r="O81" s="13">
        <v>0.6328571428571429</v>
      </c>
    </row>
    <row r="82" spans="1:15" x14ac:dyDescent="0.25">
      <c r="A82" s="5" t="s">
        <v>81</v>
      </c>
      <c r="B82" s="5" t="s">
        <v>82</v>
      </c>
      <c r="C82" s="5" t="s">
        <v>62</v>
      </c>
      <c r="D82" s="5" t="s">
        <v>41</v>
      </c>
      <c r="E82" s="6">
        <v>45828.77083333333</v>
      </c>
      <c r="F82" s="6">
        <v>46410.77083333333</v>
      </c>
      <c r="G82" s="5" t="s">
        <v>38</v>
      </c>
      <c r="H82" s="7">
        <v>357000000</v>
      </c>
      <c r="I82" s="8">
        <v>8264650</v>
      </c>
      <c r="J82" s="9">
        <v>0.00125</v>
      </c>
      <c r="K82" s="10">
        <v>0.4298</v>
      </c>
      <c r="L82" s="7">
        <v>10710000</v>
      </c>
      <c r="M82" s="7">
        <v>700000000</v>
      </c>
      <c r="N82" s="7">
        <v>10710000</v>
      </c>
      <c r="O82" s="10">
        <v>0.0153</v>
      </c>
    </row>
    <row r="83" spans="1:15" x14ac:dyDescent="0.25">
      <c r="A83" t="s">
        <v>83</v>
      </c>
      <c r="B83" t="s">
        <v>84</v>
      </c>
      <c r="C83" t="s">
        <v>65</v>
      </c>
      <c r="D83" t="s">
        <v>85</v>
      </c>
      <c r="E83" s="2">
        <v>45662.77083333333</v>
      </c>
      <c r="F83" s="2">
        <v>46743.77083333333</v>
      </c>
      <c r="G83" t="s">
        <v>43</v>
      </c>
      <c r="H83" s="11">
        <v>15000000</v>
      </c>
      <c r="I83" t="s">
        <v>37</v>
      </c>
      <c r="J83" s="12">
        <v>0.00011</v>
      </c>
      <c r="K83" s="13">
        <v>0.3043</v>
      </c>
      <c r="L83" s="11">
        <v>7500000</v>
      </c>
      <c r="M83" s="11">
        <v>450000000</v>
      </c>
      <c r="N83" s="11">
        <v>7500000</v>
      </c>
      <c r="O83" s="13">
        <v>0.016666666666666666</v>
      </c>
    </row>
    <row r="84" spans="1:15" x14ac:dyDescent="0.25">
      <c r="A84" s="5" t="s">
        <v>83</v>
      </c>
      <c r="B84" s="5" t="s">
        <v>84</v>
      </c>
      <c r="C84" s="5" t="s">
        <v>65</v>
      </c>
      <c r="D84" s="5" t="s">
        <v>85</v>
      </c>
      <c r="E84" s="6">
        <v>45741.77083333333</v>
      </c>
      <c r="F84" s="6">
        <v>46232.77083333333</v>
      </c>
      <c r="G84" s="5" t="s">
        <v>44</v>
      </c>
      <c r="H84" s="7">
        <v>71000000</v>
      </c>
      <c r="I84" s="5" t="s">
        <v>37</v>
      </c>
      <c r="J84" s="9">
        <v>0.00011</v>
      </c>
      <c r="K84" s="10">
        <v>0.4354</v>
      </c>
      <c r="L84" s="7">
        <v>53250000</v>
      </c>
      <c r="M84" s="7">
        <v>450000000</v>
      </c>
      <c r="N84" s="7">
        <v>53250000</v>
      </c>
      <c r="O84" s="10">
        <v>0.11833333333333333</v>
      </c>
    </row>
    <row r="85" spans="1:15" x14ac:dyDescent="0.25">
      <c r="A85" t="s">
        <v>83</v>
      </c>
      <c r="B85" t="s">
        <v>84</v>
      </c>
      <c r="C85" t="s">
        <v>65</v>
      </c>
      <c r="D85" t="s">
        <v>85</v>
      </c>
      <c r="E85" s="2">
        <v>45735.77083333333</v>
      </c>
      <c r="F85" s="2">
        <v>46397.77083333333</v>
      </c>
      <c r="G85" t="s">
        <v>42</v>
      </c>
      <c r="H85" s="11">
        <v>29000000</v>
      </c>
      <c r="I85" t="s">
        <v>37</v>
      </c>
      <c r="J85" s="12">
        <v>0.0001</v>
      </c>
      <c r="K85" s="13">
        <v>0.2175</v>
      </c>
      <c r="L85" s="11">
        <v>29000000</v>
      </c>
      <c r="M85" s="11">
        <v>450000000</v>
      </c>
      <c r="N85" s="11">
        <v>29000000</v>
      </c>
      <c r="O85" s="13">
        <v>0.06444444444444444</v>
      </c>
    </row>
    <row r="86" spans="1:15" x14ac:dyDescent="0.25">
      <c r="A86" s="5" t="s">
        <v>83</v>
      </c>
      <c r="B86" s="5" t="s">
        <v>84</v>
      </c>
      <c r="C86" s="5" t="s">
        <v>65</v>
      </c>
      <c r="D86" s="5" t="s">
        <v>85</v>
      </c>
      <c r="E86" s="6">
        <v>45689.77083333333</v>
      </c>
      <c r="F86" s="6">
        <v>46219.77083333333</v>
      </c>
      <c r="G86" s="5" t="s">
        <v>43</v>
      </c>
      <c r="H86" s="7">
        <v>187000000</v>
      </c>
      <c r="I86" s="5" t="s">
        <v>37</v>
      </c>
      <c r="J86" s="9">
        <v>0.00011</v>
      </c>
      <c r="K86" s="10">
        <v>0.2729</v>
      </c>
      <c r="L86" s="7">
        <v>93500000</v>
      </c>
      <c r="M86" s="7">
        <v>450000000</v>
      </c>
      <c r="N86" s="7">
        <v>93500000</v>
      </c>
      <c r="O86" s="10">
        <v>0.20777777777777778</v>
      </c>
    </row>
    <row r="87" spans="1:15" x14ac:dyDescent="0.25">
      <c r="A87" t="s">
        <v>83</v>
      </c>
      <c r="B87" t="s">
        <v>84</v>
      </c>
      <c r="C87" t="s">
        <v>65</v>
      </c>
      <c r="D87" t="s">
        <v>85</v>
      </c>
      <c r="E87" s="2">
        <v>45918.77083333333</v>
      </c>
      <c r="F87" s="2">
        <v>46993.77083333333</v>
      </c>
      <c r="G87" t="s">
        <v>44</v>
      </c>
      <c r="H87" s="11">
        <v>209000000</v>
      </c>
      <c r="I87" t="s">
        <v>37</v>
      </c>
      <c r="J87" s="12">
        <v>0.00011</v>
      </c>
      <c r="K87" s="13">
        <v>0.3564</v>
      </c>
      <c r="L87" s="11">
        <v>156750000</v>
      </c>
      <c r="M87" s="11">
        <v>450000000</v>
      </c>
      <c r="N87" s="11">
        <v>156750000</v>
      </c>
      <c r="O87" s="13">
        <v>0.34833333333333333</v>
      </c>
    </row>
    <row r="88" spans="1:15" x14ac:dyDescent="0.25">
      <c r="A88" s="5" t="s">
        <v>86</v>
      </c>
      <c r="B88" s="5" t="s">
        <v>87</v>
      </c>
      <c r="C88" s="5" t="s">
        <v>88</v>
      </c>
      <c r="D88" s="5" t="s">
        <v>47</v>
      </c>
      <c r="E88" s="6">
        <v>45949.77083333333</v>
      </c>
      <c r="F88" s="6">
        <v>46756.77083333333</v>
      </c>
      <c r="G88" s="5" t="s">
        <v>38</v>
      </c>
      <c r="H88" s="7">
        <v>272000000</v>
      </c>
      <c r="I88" s="8">
        <v>-1087377</v>
      </c>
      <c r="J88" s="9">
        <v>0.01335</v>
      </c>
      <c r="K88" s="10">
        <v>0.3696</v>
      </c>
      <c r="L88" s="7">
        <v>8160000</v>
      </c>
      <c r="M88" s="7">
        <v>300000000</v>
      </c>
      <c r="N88" s="7">
        <v>8160000</v>
      </c>
      <c r="O88" s="10">
        <v>0.0272</v>
      </c>
    </row>
    <row r="89" spans="1:15" x14ac:dyDescent="0.25">
      <c r="A89" t="s">
        <v>86</v>
      </c>
      <c r="B89" t="s">
        <v>87</v>
      </c>
      <c r="C89" t="s">
        <v>88</v>
      </c>
      <c r="D89" t="s">
        <v>47</v>
      </c>
      <c r="E89" s="2">
        <v>45940.77083333333</v>
      </c>
      <c r="F89" s="2">
        <v>46317.77083333333</v>
      </c>
      <c r="G89" t="s">
        <v>35</v>
      </c>
      <c r="H89" s="11">
        <v>259000000</v>
      </c>
      <c r="I89" s="14">
        <v>-3324169</v>
      </c>
      <c r="J89" s="12">
        <v>0.01352</v>
      </c>
      <c r="K89" s="13">
        <v>0.4987</v>
      </c>
      <c r="L89" s="11">
        <v>12950000</v>
      </c>
      <c r="M89" s="11">
        <v>300000000</v>
      </c>
      <c r="N89" s="11">
        <v>12950000</v>
      </c>
      <c r="O89" s="13">
        <v>0.043166666666666666</v>
      </c>
    </row>
    <row r="90" spans="1:15" x14ac:dyDescent="0.25">
      <c r="A90" s="15" t="s">
        <v>86</v>
      </c>
      <c r="B90" s="15" t="s">
        <v>87</v>
      </c>
      <c r="C90" s="15" t="s">
        <v>88</v>
      </c>
      <c r="D90" s="15" t="s">
        <v>47</v>
      </c>
      <c r="E90" s="16">
        <v>45721.77083333333</v>
      </c>
      <c r="F90" s="16">
        <v>46713.77083333333</v>
      </c>
      <c r="G90" s="15" t="s">
        <v>36</v>
      </c>
      <c r="H90" s="17">
        <v>413000000</v>
      </c>
      <c r="I90" s="15" t="s">
        <v>37</v>
      </c>
      <c r="J90" s="18">
        <v>0.01161</v>
      </c>
      <c r="K90" s="19">
        <v>0.4752</v>
      </c>
      <c r="L90" s="17">
        <v>413000000</v>
      </c>
      <c r="M90" s="17">
        <v>300000000</v>
      </c>
      <c r="N90" s="17">
        <v>413000000</v>
      </c>
      <c r="O90" s="19">
        <v>1.3766666666666667</v>
      </c>
    </row>
    <row r="91" spans="1:15" x14ac:dyDescent="0.25">
      <c r="A91" t="s">
        <v>86</v>
      </c>
      <c r="B91" t="s">
        <v>87</v>
      </c>
      <c r="C91" t="s">
        <v>88</v>
      </c>
      <c r="D91" t="s">
        <v>47</v>
      </c>
      <c r="E91" s="2">
        <v>45679.77083333333</v>
      </c>
      <c r="F91" s="2">
        <v>46461.77083333333</v>
      </c>
      <c r="G91" t="s">
        <v>38</v>
      </c>
      <c r="H91" s="11">
        <v>114000000</v>
      </c>
      <c r="I91" s="14">
        <v>2673034</v>
      </c>
      <c r="J91" s="12">
        <v>0.01219</v>
      </c>
      <c r="K91" s="13">
        <v>0.4401</v>
      </c>
      <c r="L91" s="11">
        <v>3420000</v>
      </c>
      <c r="M91" s="11">
        <v>300000000</v>
      </c>
      <c r="N91" s="11">
        <v>3420000</v>
      </c>
      <c r="O91" s="13">
        <v>0.0114</v>
      </c>
    </row>
    <row r="92" spans="1:15" x14ac:dyDescent="0.25">
      <c r="A92" s="5" t="s">
        <v>86</v>
      </c>
      <c r="B92" s="5" t="s">
        <v>87</v>
      </c>
      <c r="C92" s="5" t="s">
        <v>88</v>
      </c>
      <c r="D92" s="5" t="s">
        <v>47</v>
      </c>
      <c r="E92" s="6">
        <v>45850.77083333333</v>
      </c>
      <c r="F92" s="6">
        <v>46389.77083333333</v>
      </c>
      <c r="G92" s="5" t="s">
        <v>35</v>
      </c>
      <c r="H92" s="7">
        <v>465000000</v>
      </c>
      <c r="I92" s="8">
        <v>-9855148</v>
      </c>
      <c r="J92" s="9">
        <v>0.01276</v>
      </c>
      <c r="K92" s="10">
        <v>0.4047</v>
      </c>
      <c r="L92" s="7">
        <v>23250000</v>
      </c>
      <c r="M92" s="7">
        <v>300000000</v>
      </c>
      <c r="N92" s="7">
        <v>23250000</v>
      </c>
      <c r="O92" s="10">
        <v>0.0775</v>
      </c>
    </row>
    <row r="93" spans="1:15" x14ac:dyDescent="0.25">
      <c r="A93" t="s">
        <v>89</v>
      </c>
      <c r="B93" t="s">
        <v>90</v>
      </c>
      <c r="C93" t="s">
        <v>91</v>
      </c>
      <c r="D93" t="s">
        <v>47</v>
      </c>
      <c r="E93" s="2">
        <v>45777.77083333333</v>
      </c>
      <c r="F93" s="2">
        <v>46283.77083333333</v>
      </c>
      <c r="G93" t="s">
        <v>44</v>
      </c>
      <c r="H93" s="11">
        <v>490000000</v>
      </c>
      <c r="I93" t="s">
        <v>37</v>
      </c>
      <c r="J93" s="12">
        <v>0.00224</v>
      </c>
      <c r="K93" s="13">
        <v>0.3232</v>
      </c>
      <c r="L93" s="11">
        <v>367500000</v>
      </c>
      <c r="M93" s="11">
        <v>500000000</v>
      </c>
      <c r="N93" s="11">
        <v>367500000</v>
      </c>
      <c r="O93" s="13">
        <v>0.735</v>
      </c>
    </row>
    <row r="94" spans="1:15" x14ac:dyDescent="0.25">
      <c r="A94" s="5" t="s">
        <v>89</v>
      </c>
      <c r="B94" s="5" t="s">
        <v>90</v>
      </c>
      <c r="C94" s="5" t="s">
        <v>91</v>
      </c>
      <c r="D94" s="5" t="s">
        <v>47</v>
      </c>
      <c r="E94" s="6">
        <v>45725.77083333333</v>
      </c>
      <c r="F94" s="6">
        <v>46341.77083333333</v>
      </c>
      <c r="G94" s="5" t="s">
        <v>42</v>
      </c>
      <c r="H94" s="7">
        <v>385000000</v>
      </c>
      <c r="I94" s="5" t="s">
        <v>37</v>
      </c>
      <c r="J94" s="9">
        <v>0.00252</v>
      </c>
      <c r="K94" s="10">
        <v>0.2432</v>
      </c>
      <c r="L94" s="7">
        <v>385000000</v>
      </c>
      <c r="M94" s="7">
        <v>500000000</v>
      </c>
      <c r="N94" s="7">
        <v>385000000</v>
      </c>
      <c r="O94" s="10">
        <v>0.77</v>
      </c>
    </row>
    <row r="95" spans="1:15" x14ac:dyDescent="0.25">
      <c r="A95" t="s">
        <v>89</v>
      </c>
      <c r="B95" t="s">
        <v>90</v>
      </c>
      <c r="C95" t="s">
        <v>91</v>
      </c>
      <c r="D95" t="s">
        <v>47</v>
      </c>
      <c r="E95" s="2">
        <v>45968.77083333333</v>
      </c>
      <c r="F95" s="2">
        <v>46617.77083333333</v>
      </c>
      <c r="G95" t="s">
        <v>43</v>
      </c>
      <c r="H95" s="11">
        <v>117000000</v>
      </c>
      <c r="I95" t="s">
        <v>37</v>
      </c>
      <c r="J95" s="12">
        <v>0.00239</v>
      </c>
      <c r="K95" s="13">
        <v>0.343</v>
      </c>
      <c r="L95" s="11">
        <v>58500000</v>
      </c>
      <c r="M95" s="11">
        <v>500000000</v>
      </c>
      <c r="N95" s="11">
        <v>58500000</v>
      </c>
      <c r="O95" s="13">
        <v>0.117</v>
      </c>
    </row>
    <row r="96" spans="1:15" x14ac:dyDescent="0.25">
      <c r="A96" s="5" t="s">
        <v>89</v>
      </c>
      <c r="B96" s="5" t="s">
        <v>90</v>
      </c>
      <c r="C96" s="5" t="s">
        <v>91</v>
      </c>
      <c r="D96" s="5" t="s">
        <v>47</v>
      </c>
      <c r="E96" s="6">
        <v>45737.77083333333</v>
      </c>
      <c r="F96" s="6">
        <v>46296.77083333333</v>
      </c>
      <c r="G96" s="5" t="s">
        <v>44</v>
      </c>
      <c r="H96" s="7">
        <v>75000000</v>
      </c>
      <c r="I96" s="5" t="s">
        <v>37</v>
      </c>
      <c r="J96" s="9">
        <v>0.00206</v>
      </c>
      <c r="K96" s="10">
        <v>0.3098</v>
      </c>
      <c r="L96" s="7">
        <v>56250000</v>
      </c>
      <c r="M96" s="7">
        <v>500000000</v>
      </c>
      <c r="N96" s="7">
        <v>56250000</v>
      </c>
      <c r="O96" s="10">
        <v>0.1125</v>
      </c>
    </row>
    <row r="97" spans="1:15" x14ac:dyDescent="0.25">
      <c r="A97" s="15" t="s">
        <v>89</v>
      </c>
      <c r="B97" s="15" t="s">
        <v>90</v>
      </c>
      <c r="C97" s="15" t="s">
        <v>91</v>
      </c>
      <c r="D97" s="15" t="s">
        <v>47</v>
      </c>
      <c r="E97" s="16">
        <v>45732.77083333333</v>
      </c>
      <c r="F97" s="16">
        <v>46232.77083333333</v>
      </c>
      <c r="G97" s="15" t="s">
        <v>42</v>
      </c>
      <c r="H97" s="17">
        <v>423000000</v>
      </c>
      <c r="I97" s="15" t="s">
        <v>37</v>
      </c>
      <c r="J97" s="18">
        <v>0.00197</v>
      </c>
      <c r="K97" s="19">
        <v>0.2525</v>
      </c>
      <c r="L97" s="17">
        <v>423000000</v>
      </c>
      <c r="M97" s="17">
        <v>500000000</v>
      </c>
      <c r="N97" s="17">
        <v>423000000</v>
      </c>
      <c r="O97" s="19">
        <v>0.846</v>
      </c>
    </row>
    <row r="98" spans="1:15" x14ac:dyDescent="0.25">
      <c r="A98" s="5" t="s">
        <v>92</v>
      </c>
      <c r="B98" s="5" t="s">
        <v>93</v>
      </c>
      <c r="C98" s="5" t="s">
        <v>68</v>
      </c>
      <c r="D98" s="5" t="s">
        <v>94</v>
      </c>
      <c r="E98" s="6">
        <v>45961.77083333333</v>
      </c>
      <c r="F98" s="6">
        <v>46882.77083333333</v>
      </c>
      <c r="G98" s="5" t="s">
        <v>35</v>
      </c>
      <c r="H98" s="7">
        <v>153000000</v>
      </c>
      <c r="I98" s="8">
        <v>4162803</v>
      </c>
      <c r="J98" s="9">
        <v>0.00731</v>
      </c>
      <c r="K98" s="10">
        <v>0.4003</v>
      </c>
      <c r="L98" s="7">
        <v>7650000</v>
      </c>
      <c r="M98" s="7">
        <v>400000000</v>
      </c>
      <c r="N98" s="7">
        <v>7650000</v>
      </c>
      <c r="O98" s="10">
        <v>0.019125</v>
      </c>
    </row>
    <row r="99" spans="1:15" x14ac:dyDescent="0.25">
      <c r="A99" t="s">
        <v>92</v>
      </c>
      <c r="B99" t="s">
        <v>93</v>
      </c>
      <c r="C99" t="s">
        <v>68</v>
      </c>
      <c r="D99" t="s">
        <v>94</v>
      </c>
      <c r="E99" s="2">
        <v>45999.77083333333</v>
      </c>
      <c r="F99" s="2">
        <v>46816.77083333333</v>
      </c>
      <c r="G99" t="s">
        <v>36</v>
      </c>
      <c r="H99" s="11">
        <v>131000000</v>
      </c>
      <c r="I99" t="s">
        <v>37</v>
      </c>
      <c r="J99" s="12">
        <v>0.00907</v>
      </c>
      <c r="K99" s="13">
        <v>0.4978</v>
      </c>
      <c r="L99" s="11">
        <v>131000000</v>
      </c>
      <c r="M99" s="11">
        <v>400000000</v>
      </c>
      <c r="N99" s="11">
        <v>131000000</v>
      </c>
      <c r="O99" s="13">
        <v>0.3275</v>
      </c>
    </row>
    <row r="100" spans="1:15" x14ac:dyDescent="0.25">
      <c r="A100" s="5" t="s">
        <v>92</v>
      </c>
      <c r="B100" s="5" t="s">
        <v>93</v>
      </c>
      <c r="C100" s="5" t="s">
        <v>68</v>
      </c>
      <c r="D100" s="5" t="s">
        <v>94</v>
      </c>
      <c r="E100" s="6">
        <v>45800.77083333333</v>
      </c>
      <c r="F100" s="6">
        <v>46472.77083333333</v>
      </c>
      <c r="G100" s="5" t="s">
        <v>38</v>
      </c>
      <c r="H100" s="7">
        <v>67000000</v>
      </c>
      <c r="I100" s="8">
        <v>-1801860</v>
      </c>
      <c r="J100" s="9">
        <v>0.00882</v>
      </c>
      <c r="K100" s="10">
        <v>0.4611</v>
      </c>
      <c r="L100" s="7">
        <v>2010000</v>
      </c>
      <c r="M100" s="7">
        <v>400000000</v>
      </c>
      <c r="N100" s="7">
        <v>2010000</v>
      </c>
      <c r="O100" s="10">
        <v>0.005025</v>
      </c>
    </row>
    <row r="101" spans="1:15" x14ac:dyDescent="0.25">
      <c r="A101" t="s">
        <v>92</v>
      </c>
      <c r="B101" t="s">
        <v>93</v>
      </c>
      <c r="C101" t="s">
        <v>68</v>
      </c>
      <c r="D101" t="s">
        <v>94</v>
      </c>
      <c r="E101" s="2">
        <v>45939.77083333333</v>
      </c>
      <c r="F101" s="2">
        <v>46322.77083333333</v>
      </c>
      <c r="G101" t="s">
        <v>35</v>
      </c>
      <c r="H101" s="11">
        <v>85000000</v>
      </c>
      <c r="I101" s="14">
        <v>173193</v>
      </c>
      <c r="J101" s="12">
        <v>0.00844</v>
      </c>
      <c r="K101" s="13">
        <v>0.4615</v>
      </c>
      <c r="L101" s="11">
        <v>4250000</v>
      </c>
      <c r="M101" s="11">
        <v>400000000</v>
      </c>
      <c r="N101" s="11">
        <v>4250000</v>
      </c>
      <c r="O101" s="13">
        <v>0.010625</v>
      </c>
    </row>
    <row r="102" spans="1:15" x14ac:dyDescent="0.25">
      <c r="A102" s="5" t="s">
        <v>92</v>
      </c>
      <c r="B102" s="5" t="s">
        <v>93</v>
      </c>
      <c r="C102" s="5" t="s">
        <v>68</v>
      </c>
      <c r="D102" s="5" t="s">
        <v>94</v>
      </c>
      <c r="E102" s="6">
        <v>45869.77083333333</v>
      </c>
      <c r="F102" s="6">
        <v>46774.77083333333</v>
      </c>
      <c r="G102" s="5" t="s">
        <v>36</v>
      </c>
      <c r="H102" s="7">
        <v>161000000</v>
      </c>
      <c r="I102" s="5" t="s">
        <v>37</v>
      </c>
      <c r="J102" s="9">
        <v>0.00816</v>
      </c>
      <c r="K102" s="10">
        <v>0.5076</v>
      </c>
      <c r="L102" s="7">
        <v>161000000</v>
      </c>
      <c r="M102" s="7">
        <v>400000000</v>
      </c>
      <c r="N102" s="7">
        <v>161000000</v>
      </c>
      <c r="O102" s="10">
        <v>0.4025</v>
      </c>
    </row>
    <row r="103" spans="1:15" x14ac:dyDescent="0.25">
      <c r="A103" t="s">
        <v>95</v>
      </c>
      <c r="B103" t="s">
        <v>96</v>
      </c>
      <c r="C103" t="s">
        <v>33</v>
      </c>
      <c r="D103" t="s">
        <v>97</v>
      </c>
      <c r="E103" s="2">
        <v>45915.77083333333</v>
      </c>
      <c r="F103" s="2">
        <v>46724.77083333333</v>
      </c>
      <c r="G103" t="s">
        <v>42</v>
      </c>
      <c r="H103" s="11">
        <v>210000000</v>
      </c>
      <c r="I103" t="s">
        <v>37</v>
      </c>
      <c r="J103" s="12">
        <v>0.00308</v>
      </c>
      <c r="K103" s="13">
        <v>0.2783</v>
      </c>
      <c r="L103" s="11">
        <v>210000000</v>
      </c>
      <c r="M103" s="11">
        <v>600000000</v>
      </c>
      <c r="N103" s="11">
        <v>210000000</v>
      </c>
      <c r="O103" s="13">
        <v>0.35</v>
      </c>
    </row>
    <row r="104" spans="1:15" x14ac:dyDescent="0.25">
      <c r="A104" s="5" t="s">
        <v>95</v>
      </c>
      <c r="B104" s="5" t="s">
        <v>96</v>
      </c>
      <c r="C104" s="5" t="s">
        <v>33</v>
      </c>
      <c r="D104" s="5" t="s">
        <v>97</v>
      </c>
      <c r="E104" s="6">
        <v>45772.77083333333</v>
      </c>
      <c r="F104" s="6">
        <v>46628.77083333333</v>
      </c>
      <c r="G104" s="5" t="s">
        <v>43</v>
      </c>
      <c r="H104" s="7">
        <v>186000000</v>
      </c>
      <c r="I104" s="5" t="s">
        <v>37</v>
      </c>
      <c r="J104" s="9">
        <v>0.00288</v>
      </c>
      <c r="K104" s="10">
        <v>0.2752</v>
      </c>
      <c r="L104" s="7">
        <v>93000000</v>
      </c>
      <c r="M104" s="7">
        <v>600000000</v>
      </c>
      <c r="N104" s="7">
        <v>93000000</v>
      </c>
      <c r="O104" s="10">
        <v>0.155</v>
      </c>
    </row>
    <row r="105" spans="1:15" x14ac:dyDescent="0.25">
      <c r="A105" t="s">
        <v>95</v>
      </c>
      <c r="B105" t="s">
        <v>96</v>
      </c>
      <c r="C105" t="s">
        <v>33</v>
      </c>
      <c r="D105" t="s">
        <v>97</v>
      </c>
      <c r="E105" s="2">
        <v>45950.77083333333</v>
      </c>
      <c r="F105" s="2">
        <v>46875.77083333333</v>
      </c>
      <c r="G105" t="s">
        <v>44</v>
      </c>
      <c r="H105" s="11">
        <v>368000000</v>
      </c>
      <c r="I105" t="s">
        <v>37</v>
      </c>
      <c r="J105" s="12">
        <v>0.00247</v>
      </c>
      <c r="K105" s="13">
        <v>0.4211</v>
      </c>
      <c r="L105" s="11">
        <v>276000000</v>
      </c>
      <c r="M105" s="11">
        <v>600000000</v>
      </c>
      <c r="N105" s="11">
        <v>276000000</v>
      </c>
      <c r="O105" s="13">
        <v>0.46</v>
      </c>
    </row>
    <row r="106" spans="1:15" x14ac:dyDescent="0.25">
      <c r="A106" s="5" t="s">
        <v>95</v>
      </c>
      <c r="B106" s="5" t="s">
        <v>96</v>
      </c>
      <c r="C106" s="5" t="s">
        <v>33</v>
      </c>
      <c r="D106" s="5" t="s">
        <v>97</v>
      </c>
      <c r="E106" s="6">
        <v>45893.77083333333</v>
      </c>
      <c r="F106" s="6">
        <v>46836.77083333333</v>
      </c>
      <c r="G106" s="5" t="s">
        <v>42</v>
      </c>
      <c r="H106" s="7">
        <v>238000000</v>
      </c>
      <c r="I106" s="5" t="s">
        <v>37</v>
      </c>
      <c r="J106" s="9">
        <v>0.003</v>
      </c>
      <c r="K106" s="10">
        <v>0.2106</v>
      </c>
      <c r="L106" s="7">
        <v>238000000</v>
      </c>
      <c r="M106" s="7">
        <v>600000000</v>
      </c>
      <c r="N106" s="7">
        <v>238000000</v>
      </c>
      <c r="O106" s="10">
        <v>0.39666666666666667</v>
      </c>
    </row>
    <row r="107" spans="1:15" x14ac:dyDescent="0.25">
      <c r="A107" t="s">
        <v>95</v>
      </c>
      <c r="B107" t="s">
        <v>96</v>
      </c>
      <c r="C107" t="s">
        <v>33</v>
      </c>
      <c r="D107" t="s">
        <v>97</v>
      </c>
      <c r="E107" s="2">
        <v>45710.77083333333</v>
      </c>
      <c r="F107" s="2">
        <v>46152.77083333333</v>
      </c>
      <c r="G107" t="s">
        <v>43</v>
      </c>
      <c r="H107" s="11">
        <v>166000000</v>
      </c>
      <c r="I107" t="s">
        <v>37</v>
      </c>
      <c r="J107" s="12">
        <v>0.00257</v>
      </c>
      <c r="K107" s="13">
        <v>0.3606</v>
      </c>
      <c r="L107" s="11">
        <v>83000000</v>
      </c>
      <c r="M107" s="11">
        <v>600000000</v>
      </c>
      <c r="N107" s="11">
        <v>83000000</v>
      </c>
      <c r="O107" s="13">
        <v>0.13833333333333334</v>
      </c>
    </row>
    <row r="108" spans="1:15" s="20" customFormat="1" x14ac:dyDescent="0.25">
      <c r="A108" s="21" t="s">
        <v>98</v>
      </c>
      <c r="B108" s="21" t="s">
        <v>99</v>
      </c>
      <c r="C108" s="21" t="s">
        <v>99</v>
      </c>
      <c r="D108" s="21" t="s">
        <v>99</v>
      </c>
      <c r="E108" s="21" t="s">
        <v>99</v>
      </c>
      <c r="F108" s="21" t="s">
        <v>99</v>
      </c>
      <c r="G108" s="21" t="s">
        <v>99</v>
      </c>
      <c r="H108" s="22">
        <f>SUM(H8:H107)</f>
      </c>
      <c r="I108" s="21" t="s">
        <v>99</v>
      </c>
      <c r="J108" s="21" t="s">
        <v>99</v>
      </c>
      <c r="K108" s="21" t="s">
        <v>99</v>
      </c>
      <c r="L108" s="22">
        <f>SUM(L8:L107)</f>
      </c>
      <c r="M108" s="22">
        <f>SUM(M8:M107)</f>
      </c>
      <c r="N108" s="22">
        <f>SUM(N8:N107)</f>
      </c>
      <c r="O108" s="21" t="s">
        <v>99</v>
      </c>
    </row>
  </sheetData>
  <autoFilter ref="A7:O7"/>
  <mergeCells count="6">
    <mergeCell ref="A1:O1"/>
    <mergeCell ref="A6:D6"/>
    <mergeCell ref="E6:G6"/>
    <mergeCell ref="H6:I6"/>
    <mergeCell ref="J6:L6"/>
    <mergeCell ref="M6:O6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J16"/>
  <sheetFormatPr defaultRowHeight="15" outlineLevelRow="0" outlineLevelCol="0" x14ac:dyDescent="55"/>
  <cols>
    <col min="1" max="1" width="16" customWidth="1"/>
    <col min="2" max="9" width="12" customWidth="1"/>
    <col min="10" max="10" width="10" customWidth="1"/>
  </cols>
  <sheetData>
    <row r="1" spans="1:10" x14ac:dyDescent="0.2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spans="1:2" x14ac:dyDescent="0.25">
      <c r="A2" t="s">
        <v>101</v>
      </c>
      <c r="B2" t="s">
        <v>102</v>
      </c>
    </row>
    <row r="3" spans="1:2" x14ac:dyDescent="0.25">
      <c r="A3" t="s">
        <v>103</v>
      </c>
      <c r="B3" s="23" t="s">
        <v>104</v>
      </c>
    </row>
    <row r="4" spans="1:1" x14ac:dyDescent="0.25">
      <c r="A4" s="23" t="s">
        <v>105</v>
      </c>
    </row>
    <row r="6" ht="20" customHeight="1" spans="1:10" x14ac:dyDescent="0.25">
      <c r="A6" s="4" t="s">
        <v>106</v>
      </c>
      <c r="B6" s="4" t="s">
        <v>107</v>
      </c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 t="s">
        <v>113</v>
      </c>
      <c r="I6" s="4" t="s">
        <v>114</v>
      </c>
      <c r="J6" s="4" t="s">
        <v>115</v>
      </c>
    </row>
    <row r="7" spans="1:10" x14ac:dyDescent="0.25">
      <c r="A7" s="24" t="s">
        <v>107</v>
      </c>
      <c r="B7" s="25">
        <v>0.9241</v>
      </c>
      <c r="C7" s="13">
        <v>0.0634</v>
      </c>
      <c r="D7" s="13">
        <v>0.006</v>
      </c>
      <c r="E7" s="13">
        <v>0.0013</v>
      </c>
      <c r="F7" s="13">
        <v>0.0006</v>
      </c>
      <c r="G7" s="13">
        <v>0.0003</v>
      </c>
      <c r="H7" s="13">
        <v>0.0002</v>
      </c>
      <c r="I7" s="13">
        <v>0.0001</v>
      </c>
      <c r="J7" s="26">
        <f>SUM(B7:I7)</f>
      </c>
    </row>
    <row r="8" spans="1:10" x14ac:dyDescent="0.25">
      <c r="A8" s="24" t="s">
        <v>108</v>
      </c>
      <c r="B8" s="13">
        <v>0.0072</v>
      </c>
      <c r="C8" s="25">
        <v>0.9072</v>
      </c>
      <c r="D8" s="13">
        <v>0.077</v>
      </c>
      <c r="E8" s="13">
        <v>0.0058</v>
      </c>
      <c r="F8" s="13">
        <v>0.0013</v>
      </c>
      <c r="G8" s="13">
        <v>0.0009</v>
      </c>
      <c r="H8" s="13">
        <v>0.0002</v>
      </c>
      <c r="I8" s="13">
        <v>0.0004</v>
      </c>
      <c r="J8" s="26">
        <f>SUM(B8:I8)</f>
      </c>
    </row>
    <row r="9" spans="1:10" x14ac:dyDescent="0.25">
      <c r="A9" s="24" t="s">
        <v>109</v>
      </c>
      <c r="B9" s="13">
        <v>0.0009</v>
      </c>
      <c r="C9" s="13">
        <v>0.0222</v>
      </c>
      <c r="D9" s="25">
        <v>0.9078</v>
      </c>
      <c r="E9" s="13">
        <v>0.0603</v>
      </c>
      <c r="F9" s="13">
        <v>0.0063</v>
      </c>
      <c r="G9" s="13">
        <v>0.0017</v>
      </c>
      <c r="H9" s="13">
        <v>0.0003</v>
      </c>
      <c r="I9" s="13">
        <v>0.0005</v>
      </c>
      <c r="J9" s="26">
        <f>SUM(B9:I9)</f>
      </c>
    </row>
    <row r="10" spans="1:10" x14ac:dyDescent="0.25">
      <c r="A10" s="24" t="s">
        <v>110</v>
      </c>
      <c r="B10" s="13">
        <v>0.0004</v>
      </c>
      <c r="C10" s="13">
        <v>0.0034</v>
      </c>
      <c r="D10" s="13">
        <v>0.0541</v>
      </c>
      <c r="E10" s="25">
        <v>0.879</v>
      </c>
      <c r="F10" s="13">
        <v>0.0493</v>
      </c>
      <c r="G10" s="13">
        <v>0.0105</v>
      </c>
      <c r="H10" s="13">
        <v>0.0019</v>
      </c>
      <c r="I10" s="13">
        <v>0.0014</v>
      </c>
      <c r="J10" s="26">
        <f>SUM(B10:I10)</f>
      </c>
    </row>
    <row r="11" spans="1:10" x14ac:dyDescent="0.25">
      <c r="A11" s="24" t="s">
        <v>111</v>
      </c>
      <c r="B11" s="13">
        <v>0.0003</v>
      </c>
      <c r="C11" s="13">
        <v>0.0013</v>
      </c>
      <c r="D11" s="13">
        <v>0.0068</v>
      </c>
      <c r="E11" s="13">
        <v>0.0687</v>
      </c>
      <c r="F11" s="25">
        <v>0.801</v>
      </c>
      <c r="G11" s="13">
        <v>0.0985</v>
      </c>
      <c r="H11" s="13">
        <v>0.0122</v>
      </c>
      <c r="I11" s="13">
        <v>0.0112</v>
      </c>
      <c r="J11" s="26">
        <f>SUM(B11:I11)</f>
      </c>
    </row>
    <row r="12" spans="1:10" x14ac:dyDescent="0.25">
      <c r="A12" s="24" t="s">
        <v>112</v>
      </c>
      <c r="B12" s="13">
        <v>0.0001</v>
      </c>
      <c r="C12" s="13">
        <v>0.0006</v>
      </c>
      <c r="D12" s="13">
        <v>0.005</v>
      </c>
      <c r="E12" s="13">
        <v>0.015</v>
      </c>
      <c r="F12" s="13">
        <v>0.078</v>
      </c>
      <c r="G12" s="25">
        <v>0.8154</v>
      </c>
      <c r="H12" s="13">
        <v>0.0629</v>
      </c>
      <c r="I12" s="13">
        <v>0.023</v>
      </c>
      <c r="J12" s="26">
        <f>SUM(B12:I12)</f>
      </c>
    </row>
    <row r="13" spans="1:10" x14ac:dyDescent="0.25">
      <c r="A13" s="24" t="s">
        <v>113</v>
      </c>
      <c r="B13" s="13">
        <v>0.0001</v>
      </c>
      <c r="C13" s="13">
        <v>0.0003</v>
      </c>
      <c r="D13" s="13">
        <v>0.0023</v>
      </c>
      <c r="E13" s="13">
        <v>0.0065</v>
      </c>
      <c r="F13" s="13">
        <v>0.0182</v>
      </c>
      <c r="G13" s="13">
        <v>0.0989</v>
      </c>
      <c r="H13" s="25">
        <v>0.6279</v>
      </c>
      <c r="I13" s="13">
        <v>0.2458</v>
      </c>
      <c r="J13" s="26">
        <f>SUM(B13:I13)</f>
      </c>
    </row>
    <row r="14" spans="1:10" x14ac:dyDescent="0.25">
      <c r="A14" s="24" t="s">
        <v>114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25">
        <v>1</v>
      </c>
      <c r="J14" s="26">
        <f>SUM(B14:I14)</f>
      </c>
    </row>
    <row r="16" spans="1:10" x14ac:dyDescent="0.25">
      <c r="A16" s="27" t="s">
        <v>116</v>
      </c>
      <c r="B16" s="27"/>
      <c r="C16" s="27"/>
      <c r="D16" s="27"/>
      <c r="E16" s="27"/>
      <c r="F16" s="27"/>
      <c r="G16" s="27"/>
      <c r="H16" s="27"/>
      <c r="I16" s="27"/>
      <c r="J16" s="27"/>
    </row>
  </sheetData>
  <mergeCells count="2">
    <mergeCell ref="A1:J1"/>
    <mergeCell ref="A16:J16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G19"/>
  <sheetFormatPr defaultRowHeight="15" outlineLevelRow="0" outlineLevelCol="0" x14ac:dyDescent="55"/>
  <cols>
    <col min="1" max="1" width="20" customWidth="1"/>
    <col min="2" max="2" width="13" customWidth="1"/>
    <col min="3" max="3" width="22" customWidth="1"/>
    <col min="4" max="4" width="20" customWidth="1"/>
    <col min="5" max="5" width="12" customWidth="1"/>
    <col min="6" max="6" width="10" customWidth="1"/>
    <col min="7" max="7" width="16" customWidth="1"/>
  </cols>
  <sheetData>
    <row r="1" spans="1:7" x14ac:dyDescent="0.25">
      <c r="A1" s="1" t="s">
        <v>117</v>
      </c>
      <c r="B1" s="1"/>
      <c r="C1" s="1"/>
      <c r="D1" s="1"/>
      <c r="E1" s="1"/>
      <c r="F1" s="1"/>
      <c r="G1" s="1"/>
    </row>
    <row r="2" spans="1:7" x14ac:dyDescent="0.25">
      <c r="A2" s="23" t="s">
        <v>118</v>
      </c>
      <c r="B2" s="23"/>
      <c r="C2" s="23"/>
      <c r="D2" s="23"/>
      <c r="E2" s="23"/>
      <c r="F2" s="23"/>
      <c r="G2" s="23"/>
    </row>
    <row r="4" ht="18" customHeight="1" spans="2:7" x14ac:dyDescent="0.25">
      <c r="B4" s="3" t="s">
        <v>119</v>
      </c>
      <c r="C4" s="3"/>
      <c r="D4" s="3"/>
      <c r="E4" s="3" t="s">
        <v>120</v>
      </c>
      <c r="F4" s="3"/>
      <c r="G4" s="3"/>
    </row>
    <row r="5" ht="20" customHeight="1" spans="1:7" x14ac:dyDescent="0.25">
      <c r="A5" s="4" t="s">
        <v>18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126</v>
      </c>
    </row>
    <row r="6" spans="1:7" x14ac:dyDescent="0.25">
      <c r="A6" s="5" t="s">
        <v>33</v>
      </c>
      <c r="B6" s="5">
        <f>COUNTIF('Credit Exposure Register'!C:C,"Banking")</f>
      </c>
      <c r="C6" s="7">
        <f>SUMIF('Credit Exposure Register'!C:C,"Banking",'Credit Exposure Register'!H:H)</f>
      </c>
      <c r="D6" s="7">
        <f>SUMIF('Credit Exposure Register'!C:C,"Banking",'Credit Exposure Register'!L:L)</f>
      </c>
      <c r="E6" s="9">
        <f>AVERAGEIF('Credit Exposure Register'!C:C,"Banking",'Credit Exposure Register'!J:J)</f>
      </c>
      <c r="F6" s="10">
        <f>AVERAGEIF('Credit Exposure Register'!C:C,"Banking",'Credit Exposure Register'!K:K)</f>
      </c>
      <c r="G6" s="10">
        <f>D6/SUM($D$6:$D$16)</f>
      </c>
    </row>
    <row r="7" spans="1:7" x14ac:dyDescent="0.25">
      <c r="A7" t="s">
        <v>53</v>
      </c>
      <c r="B7">
        <f>COUNTIF('Credit Exposure Register'!C:C,"Inv. Banking")</f>
      </c>
      <c r="C7" s="11">
        <f>SUMIF('Credit Exposure Register'!C:C,"Inv. Banking",'Credit Exposure Register'!H:H)</f>
      </c>
      <c r="D7" s="11">
        <f>SUMIF('Credit Exposure Register'!C:C,"Inv. Banking",'Credit Exposure Register'!L:L)</f>
      </c>
      <c r="E7" s="12">
        <f>AVERAGEIF('Credit Exposure Register'!C:C,"Inv. Banking",'Credit Exposure Register'!J:J)</f>
      </c>
      <c r="F7" s="13">
        <f>AVERAGEIF('Credit Exposure Register'!C:C,"Inv. Banking",'Credit Exposure Register'!K:K)</f>
      </c>
      <c r="G7" s="13">
        <f>D7/SUM($D$6:$D$16)</f>
      </c>
    </row>
    <row r="8" spans="1:7" x14ac:dyDescent="0.25">
      <c r="A8" s="5" t="s">
        <v>59</v>
      </c>
      <c r="B8" s="5">
        <f>COUNTIF('Credit Exposure Register'!C:C,"Technology")</f>
      </c>
      <c r="C8" s="7">
        <f>SUMIF('Credit Exposure Register'!C:C,"Technology",'Credit Exposure Register'!H:H)</f>
      </c>
      <c r="D8" s="7">
        <f>SUMIF('Credit Exposure Register'!C:C,"Technology",'Credit Exposure Register'!L:L)</f>
      </c>
      <c r="E8" s="9">
        <f>AVERAGEIF('Credit Exposure Register'!C:C,"Technology",'Credit Exposure Register'!J:J)</f>
      </c>
      <c r="F8" s="10">
        <f>AVERAGEIF('Credit Exposure Register'!C:C,"Technology",'Credit Exposure Register'!K:K)</f>
      </c>
      <c r="G8" s="10">
        <f>D8/SUM($D$6:$D$16)</f>
      </c>
    </row>
    <row r="9" spans="1:7" x14ac:dyDescent="0.25">
      <c r="A9" t="s">
        <v>62</v>
      </c>
      <c r="B9">
        <f>COUNTIF('Credit Exposure Register'!C:C,"Energy")</f>
      </c>
      <c r="C9" s="11">
        <f>SUMIF('Credit Exposure Register'!C:C,"Energy",'Credit Exposure Register'!H:H)</f>
      </c>
      <c r="D9" s="11">
        <f>SUMIF('Credit Exposure Register'!C:C,"Energy",'Credit Exposure Register'!L:L)</f>
      </c>
      <c r="E9" s="12">
        <f>AVERAGEIF('Credit Exposure Register'!C:C,"Energy",'Credit Exposure Register'!J:J)</f>
      </c>
      <c r="F9" s="13">
        <f>AVERAGEIF('Credit Exposure Register'!C:C,"Energy",'Credit Exposure Register'!K:K)</f>
      </c>
      <c r="G9" s="13">
        <f>D9/SUM($D$6:$D$16)</f>
      </c>
    </row>
    <row r="10" spans="1:7" x14ac:dyDescent="0.25">
      <c r="A10" s="5" t="s">
        <v>65</v>
      </c>
      <c r="B10" s="5">
        <f>COUNTIF('Credit Exposure Register'!C:C,"Healthcare")</f>
      </c>
      <c r="C10" s="7">
        <f>SUMIF('Credit Exposure Register'!C:C,"Healthcare",'Credit Exposure Register'!H:H)</f>
      </c>
      <c r="D10" s="7">
        <f>SUMIF('Credit Exposure Register'!C:C,"Healthcare",'Credit Exposure Register'!L:L)</f>
      </c>
      <c r="E10" s="9">
        <f>AVERAGEIF('Credit Exposure Register'!C:C,"Healthcare",'Credit Exposure Register'!J:J)</f>
      </c>
      <c r="F10" s="10">
        <f>AVERAGEIF('Credit Exposure Register'!C:C,"Healthcare",'Credit Exposure Register'!K:K)</f>
      </c>
      <c r="G10" s="10">
        <f>D10/SUM($D$6:$D$16)</f>
      </c>
    </row>
    <row r="11" spans="1:7" x14ac:dyDescent="0.25">
      <c r="A11" t="s">
        <v>68</v>
      </c>
      <c r="B11">
        <f>COUNTIF('Credit Exposure Register'!C:C,"Automotive")</f>
      </c>
      <c r="C11" s="11">
        <f>SUMIF('Credit Exposure Register'!C:C,"Automotive",'Credit Exposure Register'!H:H)</f>
      </c>
      <c r="D11" s="11">
        <f>SUMIF('Credit Exposure Register'!C:C,"Automotive",'Credit Exposure Register'!L:L)</f>
      </c>
      <c r="E11" s="12">
        <f>AVERAGEIF('Credit Exposure Register'!C:C,"Automotive",'Credit Exposure Register'!J:J)</f>
      </c>
      <c r="F11" s="13">
        <f>AVERAGEIF('Credit Exposure Register'!C:C,"Automotive",'Credit Exposure Register'!K:K)</f>
      </c>
      <c r="G11" s="13">
        <f>D11/SUM($D$6:$D$16)</f>
      </c>
    </row>
    <row r="12" spans="1:7" x14ac:dyDescent="0.25">
      <c r="A12" s="5" t="s">
        <v>71</v>
      </c>
      <c r="B12" s="5">
        <f>COUNTIF('Credit Exposure Register'!C:C,"Insurance")</f>
      </c>
      <c r="C12" s="7">
        <f>SUMIF('Credit Exposure Register'!C:C,"Insurance",'Credit Exposure Register'!H:H)</f>
      </c>
      <c r="D12" s="7">
        <f>SUMIF('Credit Exposure Register'!C:C,"Insurance",'Credit Exposure Register'!L:L)</f>
      </c>
      <c r="E12" s="9">
        <f>AVERAGEIF('Credit Exposure Register'!C:C,"Insurance",'Credit Exposure Register'!J:J)</f>
      </c>
      <c r="F12" s="10">
        <f>AVERAGEIF('Credit Exposure Register'!C:C,"Insurance",'Credit Exposure Register'!K:K)</f>
      </c>
      <c r="G12" s="10">
        <f>D12/SUM($D$6:$D$16)</f>
      </c>
    </row>
    <row r="13" spans="1:7" x14ac:dyDescent="0.25">
      <c r="A13" t="s">
        <v>76</v>
      </c>
      <c r="B13">
        <f>COUNTIF('Credit Exposure Register'!C:C,"Utilities")</f>
      </c>
      <c r="C13" s="11">
        <f>SUMIF('Credit Exposure Register'!C:C,"Utilities",'Credit Exposure Register'!H:H)</f>
      </c>
      <c r="D13" s="11">
        <f>SUMIF('Credit Exposure Register'!C:C,"Utilities",'Credit Exposure Register'!L:L)</f>
      </c>
      <c r="E13" s="12">
        <f>AVERAGEIF('Credit Exposure Register'!C:C,"Utilities",'Credit Exposure Register'!J:J)</f>
      </c>
      <c r="F13" s="13">
        <f>AVERAGEIF('Credit Exposure Register'!C:C,"Utilities",'Credit Exposure Register'!K:K)</f>
      </c>
      <c r="G13" s="13">
        <f>D13/SUM($D$6:$D$16)</f>
      </c>
    </row>
    <row r="14" spans="1:7" x14ac:dyDescent="0.25">
      <c r="A14" s="5" t="s">
        <v>80</v>
      </c>
      <c r="B14" s="5">
        <f>COUNTIF('Credit Exposure Register'!C:C,"Retail")</f>
      </c>
      <c r="C14" s="7">
        <f>SUMIF('Credit Exposure Register'!C:C,"Retail",'Credit Exposure Register'!H:H)</f>
      </c>
      <c r="D14" s="7">
        <f>SUMIF('Credit Exposure Register'!C:C,"Retail",'Credit Exposure Register'!L:L)</f>
      </c>
      <c r="E14" s="9">
        <f>AVERAGEIF('Credit Exposure Register'!C:C,"Retail",'Credit Exposure Register'!J:J)</f>
      </c>
      <c r="F14" s="10">
        <f>AVERAGEIF('Credit Exposure Register'!C:C,"Retail",'Credit Exposure Register'!K:K)</f>
      </c>
      <c r="G14" s="10">
        <f>D14/SUM($D$6:$D$16)</f>
      </c>
    </row>
    <row r="15" spans="1:7" x14ac:dyDescent="0.25">
      <c r="A15" t="s">
        <v>88</v>
      </c>
      <c r="B15">
        <f>COUNTIF('Credit Exposure Register'!C:C,"Telecom")</f>
      </c>
      <c r="C15" s="11">
        <f>SUMIF('Credit Exposure Register'!C:C,"Telecom",'Credit Exposure Register'!H:H)</f>
      </c>
      <c r="D15" s="11">
        <f>SUMIF('Credit Exposure Register'!C:C,"Telecom",'Credit Exposure Register'!L:L)</f>
      </c>
      <c r="E15" s="12">
        <f>AVERAGEIF('Credit Exposure Register'!C:C,"Telecom",'Credit Exposure Register'!J:J)</f>
      </c>
      <c r="F15" s="13">
        <f>AVERAGEIF('Credit Exposure Register'!C:C,"Telecom",'Credit Exposure Register'!K:K)</f>
      </c>
      <c r="G15" s="13">
        <f>D15/SUM($D$6:$D$16)</f>
      </c>
    </row>
    <row r="16" spans="1:7" x14ac:dyDescent="0.25">
      <c r="A16" s="5" t="s">
        <v>91</v>
      </c>
      <c r="B16" s="5">
        <f>COUNTIF('Credit Exposure Register'!C:C,"Mining")</f>
      </c>
      <c r="C16" s="7">
        <f>SUMIF('Credit Exposure Register'!C:C,"Mining",'Credit Exposure Register'!H:H)</f>
      </c>
      <c r="D16" s="7">
        <f>SUMIF('Credit Exposure Register'!C:C,"Mining",'Credit Exposure Register'!L:L)</f>
      </c>
      <c r="E16" s="9">
        <f>AVERAGEIF('Credit Exposure Register'!C:C,"Mining",'Credit Exposure Register'!J:J)</f>
      </c>
      <c r="F16" s="10">
        <f>AVERAGEIF('Credit Exposure Register'!C:C,"Mining",'Credit Exposure Register'!K:K)</f>
      </c>
      <c r="G16" s="10">
        <f>D16/SUM($D$6:$D$16)</f>
      </c>
    </row>
    <row r="17" spans="1:7" s="20" customFormat="1" x14ac:dyDescent="0.25">
      <c r="A17" s="21" t="s">
        <v>98</v>
      </c>
      <c r="B17" s="21">
        <f>SUM(B6:B16)</f>
      </c>
      <c r="C17" s="22">
        <f>SUM(C6:C16)</f>
      </c>
      <c r="D17" s="22">
        <f>SUM(D6:D16)</f>
      </c>
      <c r="E17" s="21" t="s">
        <v>99</v>
      </c>
      <c r="F17" s="21" t="s">
        <v>99</v>
      </c>
      <c r="G17" s="28">
        <f>SUM(G6:G16)</f>
      </c>
    </row>
    <row r="19" spans="1:7" x14ac:dyDescent="0.25">
      <c r="A19" s="27" t="s">
        <v>127</v>
      </c>
      <c r="B19" s="27"/>
      <c r="C19" s="27"/>
      <c r="D19" s="27"/>
      <c r="E19" s="27"/>
      <c r="F19" s="27"/>
      <c r="G19" s="27"/>
    </row>
  </sheetData>
  <mergeCells count="5">
    <mergeCell ref="A1:G1"/>
    <mergeCell ref="A2:G2"/>
    <mergeCell ref="B4:D4"/>
    <mergeCell ref="E4:G4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J24"/>
  <sheetFormatPr defaultRowHeight="15" outlineLevelRow="0" outlineLevelCol="0" x14ac:dyDescent="55"/>
  <cols>
    <col min="1" max="1" width="8" customWidth="1"/>
    <col min="2" max="2" width="32" customWidth="1"/>
    <col min="3" max="3" width="18" customWidth="1"/>
    <col min="4" max="4" width="16" customWidth="1"/>
    <col min="5" max="5" width="14" customWidth="1"/>
    <col min="6" max="7" width="16" customWidth="1"/>
    <col min="8" max="8" width="18" customWidth="1"/>
    <col min="9" max="9" width="16" customWidth="1"/>
    <col min="10" max="10" width="10" customWidth="1"/>
  </cols>
  <sheetData>
    <row r="1" spans="1:10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9" x14ac:dyDescent="0.25">
      <c r="A2" t="s">
        <v>129</v>
      </c>
      <c r="B2" s="2">
        <v>46235</v>
      </c>
      <c r="D2" t="s">
        <v>6</v>
      </c>
      <c r="E2" t="s">
        <v>130</v>
      </c>
      <c r="H2" t="s">
        <v>131</v>
      </c>
      <c r="I2" s="2">
        <v>46419</v>
      </c>
    </row>
    <row r="4" ht="20" customHeight="1" spans="1:10" x14ac:dyDescent="0.25">
      <c r="A4" s="4" t="s">
        <v>16</v>
      </c>
      <c r="B4" s="4" t="s">
        <v>17</v>
      </c>
      <c r="C4" s="4" t="s">
        <v>132</v>
      </c>
      <c r="D4" s="4" t="s">
        <v>18</v>
      </c>
      <c r="E4" s="4" t="s">
        <v>19</v>
      </c>
      <c r="F4" s="4" t="s">
        <v>133</v>
      </c>
      <c r="G4" s="4" t="s">
        <v>134</v>
      </c>
      <c r="H4" s="4" t="s">
        <v>28</v>
      </c>
      <c r="I4" s="4" t="s">
        <v>135</v>
      </c>
      <c r="J4" s="4" t="s">
        <v>136</v>
      </c>
    </row>
    <row r="5" spans="1:10" x14ac:dyDescent="0.25">
      <c r="A5" s="5" t="s">
        <v>31</v>
      </c>
      <c r="B5" s="5" t="s">
        <v>32</v>
      </c>
      <c r="C5" s="5" t="s">
        <v>137</v>
      </c>
      <c r="D5" s="5" t="s">
        <v>33</v>
      </c>
      <c r="E5" s="5" t="s">
        <v>34</v>
      </c>
      <c r="F5" s="5" t="s">
        <v>138</v>
      </c>
      <c r="G5" s="5" t="s">
        <v>138</v>
      </c>
      <c r="H5" s="7">
        <v>2000000000</v>
      </c>
      <c r="I5" s="6">
        <v>43100.77083333333</v>
      </c>
      <c r="J5" s="5" t="s">
        <v>139</v>
      </c>
    </row>
    <row r="6" spans="1:10" x14ac:dyDescent="0.25">
      <c r="A6" t="s">
        <v>39</v>
      </c>
      <c r="B6" t="s">
        <v>40</v>
      </c>
      <c r="C6" t="s">
        <v>140</v>
      </c>
      <c r="D6" t="s">
        <v>33</v>
      </c>
      <c r="E6" t="s">
        <v>41</v>
      </c>
      <c r="F6" t="s">
        <v>141</v>
      </c>
      <c r="G6" t="s">
        <v>141</v>
      </c>
      <c r="H6" s="11">
        <v>1500000000</v>
      </c>
      <c r="I6" s="2">
        <v>43131.77083333333</v>
      </c>
      <c r="J6" t="s">
        <v>139</v>
      </c>
    </row>
    <row r="7" spans="1:10" x14ac:dyDescent="0.25">
      <c r="A7" s="5" t="s">
        <v>45</v>
      </c>
      <c r="B7" s="5" t="s">
        <v>46</v>
      </c>
      <c r="C7" s="5" t="s">
        <v>142</v>
      </c>
      <c r="D7" s="5" t="s">
        <v>33</v>
      </c>
      <c r="E7" s="5" t="s">
        <v>47</v>
      </c>
      <c r="F7" s="5" t="s">
        <v>138</v>
      </c>
      <c r="G7" s="5" t="s">
        <v>138</v>
      </c>
      <c r="H7" s="7">
        <v>1800000000</v>
      </c>
      <c r="I7" s="6">
        <v>43159.77083333333</v>
      </c>
      <c r="J7" s="5" t="s">
        <v>139</v>
      </c>
    </row>
    <row r="8" spans="1:10" x14ac:dyDescent="0.25">
      <c r="A8" t="s">
        <v>48</v>
      </c>
      <c r="B8" t="s">
        <v>49</v>
      </c>
      <c r="C8" t="s">
        <v>143</v>
      </c>
      <c r="D8" t="s">
        <v>33</v>
      </c>
      <c r="E8" t="s">
        <v>50</v>
      </c>
      <c r="F8" t="s">
        <v>109</v>
      </c>
      <c r="G8" t="s">
        <v>109</v>
      </c>
      <c r="H8" s="11">
        <v>1200000000</v>
      </c>
      <c r="I8" s="2">
        <v>43190.77083333333</v>
      </c>
      <c r="J8" t="s">
        <v>139</v>
      </c>
    </row>
    <row r="9" spans="1:10" x14ac:dyDescent="0.25">
      <c r="A9" s="5" t="s">
        <v>51</v>
      </c>
      <c r="B9" s="5" t="s">
        <v>52</v>
      </c>
      <c r="C9" s="5" t="s">
        <v>144</v>
      </c>
      <c r="D9" s="5" t="s">
        <v>53</v>
      </c>
      <c r="E9" s="5" t="s">
        <v>50</v>
      </c>
      <c r="F9" s="5" t="s">
        <v>141</v>
      </c>
      <c r="G9" s="5" t="s">
        <v>141</v>
      </c>
      <c r="H9" s="7">
        <v>1000000000</v>
      </c>
      <c r="I9" s="6">
        <v>43220.77083333333</v>
      </c>
      <c r="J9" s="5" t="s">
        <v>139</v>
      </c>
    </row>
    <row r="10" spans="1:10" x14ac:dyDescent="0.25">
      <c r="A10" t="s">
        <v>54</v>
      </c>
      <c r="B10" t="s">
        <v>55</v>
      </c>
      <c r="C10" t="s">
        <v>145</v>
      </c>
      <c r="D10" t="s">
        <v>33</v>
      </c>
      <c r="E10" t="s">
        <v>56</v>
      </c>
      <c r="F10" t="s">
        <v>146</v>
      </c>
      <c r="G10" t="s">
        <v>146</v>
      </c>
      <c r="H10" s="11">
        <v>900000000</v>
      </c>
      <c r="I10" s="2">
        <v>43616.77083333333</v>
      </c>
      <c r="J10" t="s">
        <v>139</v>
      </c>
    </row>
    <row r="11" spans="1:10" x14ac:dyDescent="0.25">
      <c r="A11" s="5" t="s">
        <v>57</v>
      </c>
      <c r="B11" s="5" t="s">
        <v>58</v>
      </c>
      <c r="C11" s="5" t="s">
        <v>147</v>
      </c>
      <c r="D11" s="5" t="s">
        <v>59</v>
      </c>
      <c r="E11" s="5" t="s">
        <v>50</v>
      </c>
      <c r="F11" s="5" t="s">
        <v>107</v>
      </c>
      <c r="G11" s="5" t="s">
        <v>107</v>
      </c>
      <c r="H11" s="7">
        <v>500000000</v>
      </c>
      <c r="I11" s="6">
        <v>43646.77083333333</v>
      </c>
      <c r="J11" s="5" t="s">
        <v>139</v>
      </c>
    </row>
    <row r="12" spans="1:10" x14ac:dyDescent="0.25">
      <c r="A12" t="s">
        <v>60</v>
      </c>
      <c r="B12" t="s">
        <v>61</v>
      </c>
      <c r="C12" t="s">
        <v>148</v>
      </c>
      <c r="D12" t="s">
        <v>62</v>
      </c>
      <c r="E12" t="s">
        <v>47</v>
      </c>
      <c r="F12" t="s">
        <v>108</v>
      </c>
      <c r="G12" t="s">
        <v>108</v>
      </c>
      <c r="H12" s="11">
        <v>750000000</v>
      </c>
      <c r="I12" s="2">
        <v>43677.77083333333</v>
      </c>
      <c r="J12" t="s">
        <v>139</v>
      </c>
    </row>
    <row r="13" spans="1:10" x14ac:dyDescent="0.25">
      <c r="A13" s="5" t="s">
        <v>63</v>
      </c>
      <c r="B13" s="5" t="s">
        <v>64</v>
      </c>
      <c r="C13" s="5" t="s">
        <v>149</v>
      </c>
      <c r="D13" s="5" t="s">
        <v>65</v>
      </c>
      <c r="E13" s="5" t="s">
        <v>47</v>
      </c>
      <c r="F13" s="5" t="s">
        <v>141</v>
      </c>
      <c r="G13" s="5" t="s">
        <v>141</v>
      </c>
      <c r="H13" s="7">
        <v>400000000</v>
      </c>
      <c r="I13" s="6">
        <v>43708.77083333333</v>
      </c>
      <c r="J13" s="5" t="s">
        <v>139</v>
      </c>
    </row>
    <row r="14" spans="1:10" x14ac:dyDescent="0.25">
      <c r="A14" t="s">
        <v>66</v>
      </c>
      <c r="B14" t="s">
        <v>67</v>
      </c>
      <c r="C14" t="s">
        <v>150</v>
      </c>
      <c r="D14" t="s">
        <v>68</v>
      </c>
      <c r="E14" t="s">
        <v>34</v>
      </c>
      <c r="F14" t="s">
        <v>151</v>
      </c>
      <c r="G14" t="s">
        <v>151</v>
      </c>
      <c r="H14" s="11">
        <v>600000000</v>
      </c>
      <c r="I14" s="2">
        <v>43738.77083333333</v>
      </c>
      <c r="J14" t="s">
        <v>152</v>
      </c>
    </row>
    <row r="15" spans="1:10" x14ac:dyDescent="0.25">
      <c r="A15" s="5" t="s">
        <v>69</v>
      </c>
      <c r="B15" s="5" t="s">
        <v>70</v>
      </c>
      <c r="C15" s="5" t="s">
        <v>153</v>
      </c>
      <c r="D15" s="5" t="s">
        <v>71</v>
      </c>
      <c r="E15" s="5" t="s">
        <v>34</v>
      </c>
      <c r="F15" s="5" t="s">
        <v>108</v>
      </c>
      <c r="G15" s="5" t="s">
        <v>108</v>
      </c>
      <c r="H15" s="7">
        <v>800000000</v>
      </c>
      <c r="I15" s="6">
        <v>44135.77083333333</v>
      </c>
      <c r="J15" s="5" t="s">
        <v>139</v>
      </c>
    </row>
    <row r="16" spans="1:10" x14ac:dyDescent="0.25">
      <c r="A16" t="s">
        <v>72</v>
      </c>
      <c r="B16" t="s">
        <v>73</v>
      </c>
      <c r="C16" t="s">
        <v>154</v>
      </c>
      <c r="D16" t="s">
        <v>71</v>
      </c>
      <c r="E16" t="s">
        <v>50</v>
      </c>
      <c r="F16" t="s">
        <v>155</v>
      </c>
      <c r="G16" t="s">
        <v>155</v>
      </c>
      <c r="H16" s="11">
        <v>1000000000</v>
      </c>
      <c r="I16" s="2">
        <v>44165.77083333333</v>
      </c>
      <c r="J16" t="s">
        <v>139</v>
      </c>
    </row>
    <row r="17" spans="1:10" x14ac:dyDescent="0.25">
      <c r="A17" s="5" t="s">
        <v>74</v>
      </c>
      <c r="B17" s="5" t="s">
        <v>75</v>
      </c>
      <c r="C17" s="5" t="s">
        <v>156</v>
      </c>
      <c r="D17" s="5" t="s">
        <v>76</v>
      </c>
      <c r="E17" s="5" t="s">
        <v>77</v>
      </c>
      <c r="F17" s="5" t="s">
        <v>110</v>
      </c>
      <c r="G17" s="5" t="s">
        <v>110</v>
      </c>
      <c r="H17" s="7">
        <v>350000000</v>
      </c>
      <c r="I17" s="6">
        <v>43830.77083333333</v>
      </c>
      <c r="J17" s="5" t="s">
        <v>139</v>
      </c>
    </row>
    <row r="18" spans="1:10" x14ac:dyDescent="0.25">
      <c r="A18" t="s">
        <v>78</v>
      </c>
      <c r="B18" t="s">
        <v>79</v>
      </c>
      <c r="C18" t="s">
        <v>157</v>
      </c>
      <c r="D18" t="s">
        <v>80</v>
      </c>
      <c r="E18" t="s">
        <v>47</v>
      </c>
      <c r="F18" t="s">
        <v>110</v>
      </c>
      <c r="G18" t="s">
        <v>110</v>
      </c>
      <c r="H18" s="11">
        <v>200000000</v>
      </c>
      <c r="I18" s="2">
        <v>43861.77083333333</v>
      </c>
      <c r="J18" t="s">
        <v>139</v>
      </c>
    </row>
    <row r="19" spans="1:10" x14ac:dyDescent="0.25">
      <c r="A19" s="5" t="s">
        <v>81</v>
      </c>
      <c r="B19" s="5" t="s">
        <v>82</v>
      </c>
      <c r="C19" s="5" t="s">
        <v>158</v>
      </c>
      <c r="D19" s="5" t="s">
        <v>62</v>
      </c>
      <c r="E19" s="5" t="s">
        <v>41</v>
      </c>
      <c r="F19" s="5" t="s">
        <v>141</v>
      </c>
      <c r="G19" s="5" t="s">
        <v>141</v>
      </c>
      <c r="H19" s="7">
        <v>700000000</v>
      </c>
      <c r="I19" s="6">
        <v>43890.77083333333</v>
      </c>
      <c r="J19" s="5" t="s">
        <v>139</v>
      </c>
    </row>
    <row r="20" spans="1:10" x14ac:dyDescent="0.25">
      <c r="A20" t="s">
        <v>83</v>
      </c>
      <c r="B20" t="s">
        <v>84</v>
      </c>
      <c r="C20" t="s">
        <v>159</v>
      </c>
      <c r="D20" t="s">
        <v>65</v>
      </c>
      <c r="E20" t="s">
        <v>85</v>
      </c>
      <c r="F20" t="s">
        <v>107</v>
      </c>
      <c r="G20" t="s">
        <v>107</v>
      </c>
      <c r="H20" s="11">
        <v>450000000</v>
      </c>
      <c r="I20" s="2">
        <v>44286.77083333333</v>
      </c>
      <c r="J20" t="s">
        <v>139</v>
      </c>
    </row>
    <row r="21" spans="1:10" x14ac:dyDescent="0.25">
      <c r="A21" s="5" t="s">
        <v>86</v>
      </c>
      <c r="B21" s="5" t="s">
        <v>87</v>
      </c>
      <c r="C21" s="5" t="s">
        <v>160</v>
      </c>
      <c r="D21" s="5" t="s">
        <v>88</v>
      </c>
      <c r="E21" s="5" t="s">
        <v>47</v>
      </c>
      <c r="F21" s="5" t="s">
        <v>161</v>
      </c>
      <c r="G21" s="5" t="s">
        <v>161</v>
      </c>
      <c r="H21" s="7">
        <v>300000000</v>
      </c>
      <c r="I21" s="6">
        <v>44316.77083333333</v>
      </c>
      <c r="J21" s="5" t="s">
        <v>139</v>
      </c>
    </row>
    <row r="22" spans="1:10" x14ac:dyDescent="0.25">
      <c r="A22" t="s">
        <v>89</v>
      </c>
      <c r="B22" t="s">
        <v>90</v>
      </c>
      <c r="C22" t="s">
        <v>162</v>
      </c>
      <c r="D22" t="s">
        <v>91</v>
      </c>
      <c r="E22" t="s">
        <v>47</v>
      </c>
      <c r="F22" t="s">
        <v>109</v>
      </c>
      <c r="G22" t="s">
        <v>109</v>
      </c>
      <c r="H22" s="11">
        <v>500000000</v>
      </c>
      <c r="I22" s="2">
        <v>44347.77083333333</v>
      </c>
      <c r="J22" t="s">
        <v>139</v>
      </c>
    </row>
    <row r="23" spans="1:10" x14ac:dyDescent="0.25">
      <c r="A23" s="5" t="s">
        <v>92</v>
      </c>
      <c r="B23" s="5" t="s">
        <v>93</v>
      </c>
      <c r="C23" s="5" t="s">
        <v>163</v>
      </c>
      <c r="D23" s="5" t="s">
        <v>68</v>
      </c>
      <c r="E23" s="5" t="s">
        <v>94</v>
      </c>
      <c r="F23" s="5" t="s">
        <v>110</v>
      </c>
      <c r="G23" s="5" t="s">
        <v>110</v>
      </c>
      <c r="H23" s="7">
        <v>400000000</v>
      </c>
      <c r="I23" s="6">
        <v>44377.77083333333</v>
      </c>
      <c r="J23" s="5" t="s">
        <v>139</v>
      </c>
    </row>
    <row r="24" spans="1:10" x14ac:dyDescent="0.25">
      <c r="A24" t="s">
        <v>95</v>
      </c>
      <c r="B24" t="s">
        <v>96</v>
      </c>
      <c r="C24" t="s">
        <v>164</v>
      </c>
      <c r="D24" t="s">
        <v>33</v>
      </c>
      <c r="E24" t="s">
        <v>97</v>
      </c>
      <c r="F24" t="s">
        <v>146</v>
      </c>
      <c r="G24" t="s">
        <v>146</v>
      </c>
      <c r="H24" s="11">
        <v>600000000</v>
      </c>
      <c r="I24" s="2">
        <v>44408.77083333333</v>
      </c>
      <c r="J24" t="s">
        <v>139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2"/>
  <sheetFormatPr defaultRowHeight="15" outlineLevelRow="0" outlineLevelCol="0" x14ac:dyDescent="55"/>
  <cols>
    <col min="1" max="1" width="36" customWidth="1"/>
    <col min="2" max="2" width="22" customWidth="1"/>
    <col min="3" max="4" width="16" customWidth="1"/>
    <col min="5" max="5" width="22" customWidth="1"/>
    <col min="6" max="6" width="52" customWidth="1"/>
  </cols>
  <sheetData>
    <row r="1" spans="1:6" x14ac:dyDescent="0.25">
      <c r="A1" s="1" t="s">
        <v>165</v>
      </c>
      <c r="B1" s="1"/>
      <c r="C1" s="1"/>
      <c r="D1" s="1"/>
      <c r="E1" s="1"/>
      <c r="F1" s="1"/>
    </row>
    <row r="2" spans="1:6" x14ac:dyDescent="0.25">
      <c r="A2" s="23" t="s">
        <v>166</v>
      </c>
      <c r="B2" s="23"/>
      <c r="C2" s="23"/>
      <c r="D2" s="23"/>
      <c r="E2" s="23"/>
      <c r="F2" s="23"/>
    </row>
    <row r="4" ht="20" customHeight="1" spans="1:6" x14ac:dyDescent="0.25">
      <c r="A4" s="4" t="s">
        <v>167</v>
      </c>
      <c r="B4" s="4" t="s">
        <v>168</v>
      </c>
      <c r="C4" s="4" t="s">
        <v>169</v>
      </c>
      <c r="D4" s="4" t="s">
        <v>170</v>
      </c>
      <c r="E4" s="4" t="s">
        <v>171</v>
      </c>
      <c r="F4" s="4" t="s">
        <v>172</v>
      </c>
    </row>
    <row r="5" spans="1:6" x14ac:dyDescent="0.25">
      <c r="A5" s="5" t="s">
        <v>173</v>
      </c>
      <c r="B5" s="5" t="s">
        <v>174</v>
      </c>
      <c r="C5" s="5" t="s">
        <v>175</v>
      </c>
      <c r="D5" s="6">
        <v>46023</v>
      </c>
      <c r="E5" s="5" t="s">
        <v>176</v>
      </c>
      <c r="F5" s="5" t="s">
        <v>177</v>
      </c>
    </row>
    <row r="6" spans="1:6" x14ac:dyDescent="0.25">
      <c r="A6" t="s">
        <v>178</v>
      </c>
      <c r="B6" t="s">
        <v>179</v>
      </c>
      <c r="C6" t="s">
        <v>180</v>
      </c>
      <c r="D6" s="2">
        <v>46023</v>
      </c>
      <c r="E6" t="s">
        <v>176</v>
      </c>
      <c r="F6" t="s">
        <v>181</v>
      </c>
    </row>
    <row r="7" spans="1:6" x14ac:dyDescent="0.25">
      <c r="A7" s="5" t="s">
        <v>182</v>
      </c>
      <c r="B7" s="5" t="s">
        <v>183</v>
      </c>
      <c r="C7" s="5" t="s">
        <v>184</v>
      </c>
      <c r="D7" s="6">
        <v>46023</v>
      </c>
      <c r="E7" s="5" t="s">
        <v>176</v>
      </c>
      <c r="F7" s="5" t="s">
        <v>185</v>
      </c>
    </row>
    <row r="8" spans="1:6" x14ac:dyDescent="0.25">
      <c r="A8" t="s">
        <v>186</v>
      </c>
      <c r="B8" t="s">
        <v>187</v>
      </c>
      <c r="C8" t="s">
        <v>175</v>
      </c>
      <c r="D8" s="2">
        <v>46096</v>
      </c>
      <c r="E8" t="s">
        <v>188</v>
      </c>
      <c r="F8" t="s">
        <v>189</v>
      </c>
    </row>
    <row r="9" spans="1:6" x14ac:dyDescent="0.25">
      <c r="A9" s="5" t="s">
        <v>190</v>
      </c>
      <c r="B9" s="5" t="s">
        <v>191</v>
      </c>
      <c r="C9" s="5" t="s">
        <v>175</v>
      </c>
      <c r="D9" s="6">
        <v>46096</v>
      </c>
      <c r="E9" s="5" t="s">
        <v>188</v>
      </c>
      <c r="F9" s="5" t="s">
        <v>192</v>
      </c>
    </row>
    <row r="10" spans="1:6" x14ac:dyDescent="0.25">
      <c r="A10" t="s">
        <v>193</v>
      </c>
      <c r="B10" t="s">
        <v>194</v>
      </c>
      <c r="C10" t="s">
        <v>175</v>
      </c>
      <c r="D10" s="2">
        <v>46023</v>
      </c>
      <c r="E10" t="s">
        <v>176</v>
      </c>
      <c r="F10" t="s">
        <v>195</v>
      </c>
    </row>
    <row r="11" spans="1:6" x14ac:dyDescent="0.25">
      <c r="A11" s="5" t="s">
        <v>196</v>
      </c>
      <c r="B11" s="5" t="s">
        <v>197</v>
      </c>
      <c r="C11" s="5" t="s">
        <v>175</v>
      </c>
      <c r="D11" s="6">
        <v>46023</v>
      </c>
      <c r="E11" s="5" t="s">
        <v>176</v>
      </c>
      <c r="F11" s="5" t="s">
        <v>198</v>
      </c>
    </row>
    <row r="12" spans="1:6" x14ac:dyDescent="0.25">
      <c r="A12" t="s">
        <v>199</v>
      </c>
      <c r="B12" t="s">
        <v>200</v>
      </c>
      <c r="C12" t="s">
        <v>201</v>
      </c>
      <c r="D12" s="2">
        <v>46023</v>
      </c>
      <c r="E12" t="s">
        <v>176</v>
      </c>
      <c r="F12" t="s">
        <v>202</v>
      </c>
    </row>
    <row r="13" spans="1:6" x14ac:dyDescent="0.25">
      <c r="A13" s="5" t="s">
        <v>203</v>
      </c>
      <c r="B13" s="5" t="s">
        <v>204</v>
      </c>
      <c r="C13" s="5" t="s">
        <v>175</v>
      </c>
      <c r="D13" s="6">
        <v>46174</v>
      </c>
      <c r="E13" s="5" t="s">
        <v>205</v>
      </c>
      <c r="F13" s="5" t="s">
        <v>206</v>
      </c>
    </row>
    <row r="14" spans="1:6" x14ac:dyDescent="0.25">
      <c r="A14" t="s">
        <v>207</v>
      </c>
      <c r="B14" t="s">
        <v>208</v>
      </c>
      <c r="C14" t="s">
        <v>175</v>
      </c>
      <c r="D14" s="2">
        <v>46023</v>
      </c>
      <c r="E14" t="s">
        <v>176</v>
      </c>
      <c r="F14" t="s">
        <v>209</v>
      </c>
    </row>
    <row r="15" spans="1:6" x14ac:dyDescent="0.25">
      <c r="A15" s="5" t="s">
        <v>210</v>
      </c>
      <c r="B15" s="5" t="s">
        <v>211</v>
      </c>
      <c r="C15" s="5" t="s">
        <v>175</v>
      </c>
      <c r="D15" s="6">
        <v>46023</v>
      </c>
      <c r="E15" s="5" t="s">
        <v>176</v>
      </c>
      <c r="F15" s="5" t="s">
        <v>212</v>
      </c>
    </row>
    <row r="16" spans="1:6" x14ac:dyDescent="0.25">
      <c r="A16" t="s">
        <v>213</v>
      </c>
      <c r="B16" t="s">
        <v>214</v>
      </c>
      <c r="C16" t="s">
        <v>37</v>
      </c>
      <c r="D16" s="2">
        <v>46204</v>
      </c>
      <c r="E16" t="s">
        <v>215</v>
      </c>
      <c r="F16" t="s">
        <v>216</v>
      </c>
    </row>
    <row r="17" spans="1:6" x14ac:dyDescent="0.25">
      <c r="A17" s="5" t="s">
        <v>217</v>
      </c>
      <c r="B17" s="5" t="s">
        <v>218</v>
      </c>
      <c r="C17" s="5" t="s">
        <v>175</v>
      </c>
      <c r="D17" s="6">
        <v>46266</v>
      </c>
      <c r="E17" s="5" t="s">
        <v>219</v>
      </c>
      <c r="F17" s="5" t="s">
        <v>220</v>
      </c>
    </row>
    <row r="18" spans="1:6" x14ac:dyDescent="0.25">
      <c r="A18" t="s">
        <v>221</v>
      </c>
      <c r="B18" t="s">
        <v>222</v>
      </c>
      <c r="C18" t="s">
        <v>175</v>
      </c>
      <c r="D18" s="2">
        <v>46023</v>
      </c>
      <c r="E18" t="s">
        <v>176</v>
      </c>
      <c r="F18" t="s">
        <v>223</v>
      </c>
    </row>
    <row r="19" spans="1:6" x14ac:dyDescent="0.25">
      <c r="A19" s="5" t="s">
        <v>224</v>
      </c>
      <c r="B19" s="5" t="s">
        <v>225</v>
      </c>
      <c r="C19" s="5" t="s">
        <v>226</v>
      </c>
      <c r="D19" s="6">
        <v>46174</v>
      </c>
      <c r="E19" s="5" t="s">
        <v>205</v>
      </c>
      <c r="F19" s="5" t="s">
        <v>227</v>
      </c>
    </row>
    <row r="20" spans="1:6" x14ac:dyDescent="0.25">
      <c r="A20" t="s">
        <v>228</v>
      </c>
      <c r="B20" t="s">
        <v>197</v>
      </c>
      <c r="C20" t="s">
        <v>175</v>
      </c>
      <c r="D20" s="2">
        <v>46023</v>
      </c>
      <c r="E20" t="s">
        <v>176</v>
      </c>
      <c r="F20" t="s">
        <v>229</v>
      </c>
    </row>
    <row r="21" spans="1:6" x14ac:dyDescent="0.25">
      <c r="A21" s="5" t="s">
        <v>230</v>
      </c>
      <c r="B21" s="5" t="s">
        <v>231</v>
      </c>
      <c r="C21" s="5" t="s">
        <v>175</v>
      </c>
      <c r="D21" s="6">
        <v>46023</v>
      </c>
      <c r="E21" s="5" t="s">
        <v>176</v>
      </c>
      <c r="F21" s="5" t="s">
        <v>232</v>
      </c>
    </row>
    <row r="22" spans="1:6" x14ac:dyDescent="0.25">
      <c r="A22" t="s">
        <v>233</v>
      </c>
      <c r="B22" s="2">
        <v>46477</v>
      </c>
      <c r="C22" t="s">
        <v>234</v>
      </c>
      <c r="D22" s="2">
        <v>46266</v>
      </c>
      <c r="E22" t="s">
        <v>219</v>
      </c>
      <c r="F22" t="s">
        <v>235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Credit Exposure Register</vt:lpstr>
      <vt:lpstr>Rating Migration Matrix</vt:lpstr>
      <vt:lpstr>Sector Concentration</vt:lpstr>
      <vt:lpstr>Counterparty Master</vt:lpstr>
      <vt:lpstr>Risk Model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 Risk Analytics</dc:creator>
  <dc:title/>
  <dc:subject/>
  <dc:description/>
  <cp:keywords/>
  <cp:category/>
  <cp:lastModifiedBy>Unknown</cp:lastModifiedBy>
  <dcterms:created xsi:type="dcterms:W3CDTF">2026-09-30T00:00:00Z</dcterms:created>
  <dcterms:modified xsi:type="dcterms:W3CDTF">2026-09-12T13:55:17Z</dcterms:modified>
</cp:coreProperties>
</file>